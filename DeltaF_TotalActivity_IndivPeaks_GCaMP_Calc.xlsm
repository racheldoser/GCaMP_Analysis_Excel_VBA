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acheldoser/Desktop/"/>
    </mc:Choice>
  </mc:AlternateContent>
  <xr:revisionPtr revIDLastSave="0" documentId="13_ncr:1_{A7169575-7C9B-2441-B4FA-0A0FFF3D97E7}" xr6:coauthVersionLast="45" xr6:coauthVersionMax="45" xr10:uidLastSave="{00000000-0000-0000-0000-000000000000}"/>
  <bookViews>
    <workbookView xWindow="5460" yWindow="460" windowWidth="23060" windowHeight="14880" activeTab="2" xr2:uid="{8FA45C30-1365-AA42-9AF2-951C1A3F7B34}"/>
  </bookViews>
  <sheets>
    <sheet name="How to open .csv" sheetId="2" r:id="rId1"/>
    <sheet name="Entire Trace Calc" sheetId="1" r:id="rId2"/>
    <sheet name="Individual Peak Calc" sheetId="3" r:id="rId3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" i="1" l="1"/>
  <c r="I4" i="1"/>
  <c r="H4" i="1"/>
  <c r="I11" i="1"/>
  <c r="H11" i="1"/>
  <c r="O1" i="3" a="1"/>
  <c r="J1" i="3" a="1"/>
  <c r="H2" i="1"/>
  <c r="I2" i="1"/>
  <c r="O1" i="3" l="1"/>
  <c r="J1" i="3"/>
  <c r="R245" i="1"/>
  <c r="R249" i="1"/>
  <c r="R253" i="1"/>
  <c r="R257" i="1"/>
  <c r="R261" i="1"/>
  <c r="R265" i="1"/>
  <c r="R269" i="1"/>
  <c r="R273" i="1"/>
  <c r="R277" i="1"/>
  <c r="R281" i="1"/>
  <c r="R285" i="1"/>
  <c r="R289" i="1"/>
  <c r="R293" i="1"/>
  <c r="R297" i="1"/>
  <c r="R301" i="1"/>
  <c r="R305" i="1"/>
  <c r="R309" i="1"/>
  <c r="R313" i="1"/>
  <c r="R317" i="1"/>
  <c r="R321" i="1"/>
  <c r="R325" i="1"/>
  <c r="R329" i="1"/>
  <c r="R333" i="1"/>
  <c r="R337" i="1"/>
  <c r="R341" i="1"/>
  <c r="R345" i="1"/>
  <c r="R349" i="1"/>
  <c r="R353" i="1"/>
  <c r="R357" i="1"/>
  <c r="R361" i="1"/>
  <c r="R365" i="1"/>
  <c r="R369" i="1"/>
  <c r="R373" i="1"/>
  <c r="R377" i="1"/>
  <c r="R381" i="1"/>
  <c r="R385" i="1"/>
  <c r="R389" i="1"/>
  <c r="R393" i="1"/>
  <c r="R397" i="1"/>
  <c r="R401" i="1"/>
  <c r="R405" i="1"/>
  <c r="R409" i="1"/>
  <c r="R413" i="1"/>
  <c r="R417" i="1"/>
  <c r="R421" i="1"/>
  <c r="R425" i="1"/>
  <c r="R429" i="1"/>
  <c r="R433" i="1"/>
  <c r="R437" i="1"/>
  <c r="R441" i="1"/>
  <c r="R445" i="1"/>
  <c r="R449" i="1"/>
  <c r="R453" i="1"/>
  <c r="R457" i="1"/>
  <c r="R461" i="1"/>
  <c r="R465" i="1"/>
  <c r="R469" i="1"/>
  <c r="R473" i="1"/>
  <c r="R477" i="1"/>
  <c r="R481" i="1"/>
  <c r="R485" i="1"/>
  <c r="R489" i="1"/>
  <c r="R493" i="1"/>
  <c r="R497" i="1"/>
  <c r="R501" i="1"/>
  <c r="R505" i="1"/>
  <c r="R509" i="1"/>
  <c r="R513" i="1"/>
  <c r="R517" i="1"/>
  <c r="R521" i="1"/>
  <c r="R525" i="1"/>
  <c r="R529" i="1"/>
  <c r="R533" i="1"/>
  <c r="R537" i="1"/>
  <c r="R541" i="1"/>
  <c r="R545" i="1"/>
  <c r="R242" i="1"/>
  <c r="R246" i="1"/>
  <c r="R250" i="1"/>
  <c r="R254" i="1"/>
  <c r="R258" i="1"/>
  <c r="R262" i="1"/>
  <c r="R266" i="1"/>
  <c r="R270" i="1"/>
  <c r="R274" i="1"/>
  <c r="R278" i="1"/>
  <c r="R282" i="1"/>
  <c r="R286" i="1"/>
  <c r="R290" i="1"/>
  <c r="R294" i="1"/>
  <c r="R298" i="1"/>
  <c r="R302" i="1"/>
  <c r="R306" i="1"/>
  <c r="R310" i="1"/>
  <c r="R314" i="1"/>
  <c r="R318" i="1"/>
  <c r="R322" i="1"/>
  <c r="R326" i="1"/>
  <c r="R330" i="1"/>
  <c r="R334" i="1"/>
  <c r="R338" i="1"/>
  <c r="R342" i="1"/>
  <c r="R346" i="1"/>
  <c r="R350" i="1"/>
  <c r="R354" i="1"/>
  <c r="R358" i="1"/>
  <c r="R362" i="1"/>
  <c r="R366" i="1"/>
  <c r="R370" i="1"/>
  <c r="R374" i="1"/>
  <c r="R378" i="1"/>
  <c r="R382" i="1"/>
  <c r="R386" i="1"/>
  <c r="R390" i="1"/>
  <c r="R394" i="1"/>
  <c r="R398" i="1"/>
  <c r="R402" i="1"/>
  <c r="R406" i="1"/>
  <c r="R410" i="1"/>
  <c r="R414" i="1"/>
  <c r="R418" i="1"/>
  <c r="R422" i="1"/>
  <c r="R426" i="1"/>
  <c r="R430" i="1"/>
  <c r="R434" i="1"/>
  <c r="R438" i="1"/>
  <c r="R442" i="1"/>
  <c r="R446" i="1"/>
  <c r="R450" i="1"/>
  <c r="R454" i="1"/>
  <c r="R458" i="1"/>
  <c r="R462" i="1"/>
  <c r="R466" i="1"/>
  <c r="R470" i="1"/>
  <c r="R474" i="1"/>
  <c r="R478" i="1"/>
  <c r="R482" i="1"/>
  <c r="R486" i="1"/>
  <c r="R490" i="1"/>
  <c r="Z18" i="1"/>
  <c r="R243" i="1"/>
  <c r="R247" i="1"/>
  <c r="R251" i="1"/>
  <c r="R255" i="1"/>
  <c r="R259" i="1"/>
  <c r="R263" i="1"/>
  <c r="R267" i="1"/>
  <c r="R271" i="1"/>
  <c r="R275" i="1"/>
  <c r="R279" i="1"/>
  <c r="R283" i="1"/>
  <c r="R287" i="1"/>
  <c r="R291" i="1"/>
  <c r="R295" i="1"/>
  <c r="R299" i="1"/>
  <c r="R303" i="1"/>
  <c r="R307" i="1"/>
  <c r="R311" i="1"/>
  <c r="R315" i="1"/>
  <c r="R319" i="1"/>
  <c r="R323" i="1"/>
  <c r="R327" i="1"/>
  <c r="R331" i="1"/>
  <c r="R335" i="1"/>
  <c r="R339" i="1"/>
  <c r="R343" i="1"/>
  <c r="R347" i="1"/>
  <c r="R351" i="1"/>
  <c r="R355" i="1"/>
  <c r="R359" i="1"/>
  <c r="R363" i="1"/>
  <c r="R367" i="1"/>
  <c r="R371" i="1"/>
  <c r="R375" i="1"/>
  <c r="R379" i="1"/>
  <c r="R383" i="1"/>
  <c r="R387" i="1"/>
  <c r="R391" i="1"/>
  <c r="R395" i="1"/>
  <c r="R399" i="1"/>
  <c r="R403" i="1"/>
  <c r="R407" i="1"/>
  <c r="R411" i="1"/>
  <c r="R415" i="1"/>
  <c r="R419" i="1"/>
  <c r="R423" i="1"/>
  <c r="R427" i="1"/>
  <c r="R431" i="1"/>
  <c r="R435" i="1"/>
  <c r="R439" i="1"/>
  <c r="R443" i="1"/>
  <c r="R447" i="1"/>
  <c r="R451" i="1"/>
  <c r="R455" i="1"/>
  <c r="R459" i="1"/>
  <c r="R463" i="1"/>
  <c r="R467" i="1"/>
  <c r="R471" i="1"/>
  <c r="R475" i="1"/>
  <c r="R479" i="1"/>
  <c r="R483" i="1"/>
  <c r="R487" i="1"/>
  <c r="R491" i="1"/>
  <c r="R495" i="1"/>
  <c r="R499" i="1"/>
  <c r="R503" i="1"/>
  <c r="R507" i="1"/>
  <c r="R511" i="1"/>
  <c r="R515" i="1"/>
  <c r="R519" i="1"/>
  <c r="R523" i="1"/>
  <c r="R527" i="1"/>
  <c r="R531" i="1"/>
  <c r="R535" i="1"/>
  <c r="R539" i="1"/>
  <c r="R543" i="1"/>
  <c r="R244" i="1"/>
  <c r="R248" i="1"/>
  <c r="R252" i="1"/>
  <c r="R256" i="1"/>
  <c r="R260" i="1"/>
  <c r="R264" i="1"/>
  <c r="R268" i="1"/>
  <c r="R272" i="1"/>
  <c r="R276" i="1"/>
  <c r="R280" i="1"/>
  <c r="R284" i="1"/>
  <c r="R288" i="1"/>
  <c r="R292" i="1"/>
  <c r="R296" i="1"/>
  <c r="R300" i="1"/>
  <c r="R304" i="1"/>
  <c r="R308" i="1"/>
  <c r="R312" i="1"/>
  <c r="R316" i="1"/>
  <c r="R320" i="1"/>
  <c r="R324" i="1"/>
  <c r="R328" i="1"/>
  <c r="R332" i="1"/>
  <c r="R336" i="1"/>
  <c r="R340" i="1"/>
  <c r="R344" i="1"/>
  <c r="R348" i="1"/>
  <c r="R352" i="1"/>
  <c r="R356" i="1"/>
  <c r="R360" i="1"/>
  <c r="R364" i="1"/>
  <c r="R368" i="1"/>
  <c r="R372" i="1"/>
  <c r="R376" i="1"/>
  <c r="R380" i="1"/>
  <c r="R384" i="1"/>
  <c r="R388" i="1"/>
  <c r="R392" i="1"/>
  <c r="R396" i="1"/>
  <c r="R400" i="1"/>
  <c r="R404" i="1"/>
  <c r="R408" i="1"/>
  <c r="R412" i="1"/>
  <c r="R416" i="1"/>
  <c r="R420" i="1"/>
  <c r="R424" i="1"/>
  <c r="R428" i="1"/>
  <c r="R432" i="1"/>
  <c r="R436" i="1"/>
  <c r="R440" i="1"/>
  <c r="R444" i="1"/>
  <c r="R448" i="1"/>
  <c r="R452" i="1"/>
  <c r="R456" i="1"/>
  <c r="R460" i="1"/>
  <c r="R464" i="1"/>
  <c r="R468" i="1"/>
  <c r="R472" i="1"/>
  <c r="R476" i="1"/>
  <c r="R480" i="1"/>
  <c r="R484" i="1"/>
  <c r="R488" i="1"/>
  <c r="R492" i="1"/>
  <c r="R494" i="1"/>
  <c r="R502" i="1"/>
  <c r="R510" i="1"/>
  <c r="R518" i="1"/>
  <c r="R526" i="1"/>
  <c r="R534" i="1"/>
  <c r="R542" i="1"/>
  <c r="R548" i="1"/>
  <c r="R552" i="1"/>
  <c r="R556" i="1"/>
  <c r="R560" i="1"/>
  <c r="R564" i="1"/>
  <c r="R568" i="1"/>
  <c r="R572" i="1"/>
  <c r="R576" i="1"/>
  <c r="R580" i="1"/>
  <c r="R584" i="1"/>
  <c r="R588" i="1"/>
  <c r="R592" i="1"/>
  <c r="R596" i="1"/>
  <c r="R600" i="1"/>
  <c r="R496" i="1"/>
  <c r="R504" i="1"/>
  <c r="R512" i="1"/>
  <c r="R520" i="1"/>
  <c r="R528" i="1"/>
  <c r="R536" i="1"/>
  <c r="R544" i="1"/>
  <c r="R549" i="1"/>
  <c r="R553" i="1"/>
  <c r="R557" i="1"/>
  <c r="R561" i="1"/>
  <c r="R565" i="1"/>
  <c r="R569" i="1"/>
  <c r="R573" i="1"/>
  <c r="R577" i="1"/>
  <c r="R581" i="1"/>
  <c r="R585" i="1"/>
  <c r="R589" i="1"/>
  <c r="R593" i="1"/>
  <c r="R597" i="1"/>
  <c r="R601" i="1"/>
  <c r="R498" i="1"/>
  <c r="R506" i="1"/>
  <c r="R514" i="1"/>
  <c r="R522" i="1"/>
  <c r="R530" i="1"/>
  <c r="R538" i="1"/>
  <c r="R546" i="1"/>
  <c r="R550" i="1"/>
  <c r="R554" i="1"/>
  <c r="R558" i="1"/>
  <c r="R562" i="1"/>
  <c r="R566" i="1"/>
  <c r="R570" i="1"/>
  <c r="R574" i="1"/>
  <c r="R578" i="1"/>
  <c r="R582" i="1"/>
  <c r="R586" i="1"/>
  <c r="R590" i="1"/>
  <c r="R594" i="1"/>
  <c r="R598" i="1"/>
  <c r="R500" i="1"/>
  <c r="R508" i="1"/>
  <c r="R516" i="1"/>
  <c r="R524" i="1"/>
  <c r="R532" i="1"/>
  <c r="R540" i="1"/>
  <c r="R547" i="1"/>
  <c r="R551" i="1"/>
  <c r="R555" i="1"/>
  <c r="R559" i="1"/>
  <c r="R563" i="1"/>
  <c r="R567" i="1"/>
  <c r="R571" i="1"/>
  <c r="R575" i="1"/>
  <c r="R579" i="1"/>
  <c r="R583" i="1"/>
  <c r="R587" i="1"/>
  <c r="R591" i="1"/>
  <c r="R595" i="1"/>
  <c r="R599" i="1"/>
  <c r="A1" i="3" l="1"/>
  <c r="R2" i="1" l="1"/>
  <c r="R241" i="1"/>
  <c r="I12" i="1"/>
  <c r="K594" i="1" l="1"/>
  <c r="A594" i="3" s="1"/>
  <c r="K578" i="1"/>
  <c r="A578" i="3" s="1"/>
  <c r="K562" i="1"/>
  <c r="A562" i="3" s="1"/>
  <c r="K546" i="1"/>
  <c r="A546" i="3" s="1"/>
  <c r="K530" i="1"/>
  <c r="A530" i="3" s="1"/>
  <c r="K514" i="1"/>
  <c r="A514" i="3" s="1"/>
  <c r="K498" i="1"/>
  <c r="A498" i="3" s="1"/>
  <c r="K482" i="1"/>
  <c r="A482" i="3" s="1"/>
  <c r="K466" i="1"/>
  <c r="A466" i="3" s="1"/>
  <c r="K450" i="1"/>
  <c r="A450" i="3" s="1"/>
  <c r="K434" i="1"/>
  <c r="A434" i="3" s="1"/>
  <c r="K418" i="1"/>
  <c r="A418" i="3" s="1"/>
  <c r="K402" i="1"/>
  <c r="A402" i="3" s="1"/>
  <c r="K386" i="1"/>
  <c r="A386" i="3" s="1"/>
  <c r="K370" i="1"/>
  <c r="A370" i="3" s="1"/>
  <c r="K354" i="1"/>
  <c r="A354" i="3" s="1"/>
  <c r="K338" i="1"/>
  <c r="A338" i="3" s="1"/>
  <c r="K322" i="1"/>
  <c r="A322" i="3" s="1"/>
  <c r="K306" i="1"/>
  <c r="A306" i="3" s="1"/>
  <c r="K290" i="1"/>
  <c r="A290" i="3" s="1"/>
  <c r="K274" i="1"/>
  <c r="A274" i="3" s="1"/>
  <c r="K13" i="1"/>
  <c r="A13" i="3" s="1"/>
  <c r="K29" i="1"/>
  <c r="K45" i="1"/>
  <c r="A45" i="3" s="1"/>
  <c r="K61" i="1"/>
  <c r="K77" i="1"/>
  <c r="A77" i="3" s="1"/>
  <c r="K93" i="1"/>
  <c r="K109" i="1"/>
  <c r="A109" i="3" s="1"/>
  <c r="K125" i="1"/>
  <c r="K141" i="1"/>
  <c r="A141" i="3" s="1"/>
  <c r="K157" i="1"/>
  <c r="K173" i="1"/>
  <c r="A173" i="3" s="1"/>
  <c r="K189" i="1"/>
  <c r="K205" i="1"/>
  <c r="A205" i="3" s="1"/>
  <c r="K221" i="1"/>
  <c r="K237" i="1"/>
  <c r="A237" i="3" s="1"/>
  <c r="K253" i="1"/>
  <c r="A253" i="3" s="1"/>
  <c r="K6" i="1"/>
  <c r="A6" i="3" s="1"/>
  <c r="K22" i="1"/>
  <c r="K38" i="1"/>
  <c r="A38" i="3" s="1"/>
  <c r="K54" i="1"/>
  <c r="K70" i="1"/>
  <c r="K86" i="1"/>
  <c r="K102" i="1"/>
  <c r="A102" i="3" s="1"/>
  <c r="K118" i="1"/>
  <c r="K134" i="1"/>
  <c r="A134" i="3" s="1"/>
  <c r="K150" i="1"/>
  <c r="K166" i="1"/>
  <c r="A166" i="3" s="1"/>
  <c r="K182" i="1"/>
  <c r="K198" i="1"/>
  <c r="A198" i="3" s="1"/>
  <c r="K214" i="1"/>
  <c r="K230" i="1"/>
  <c r="A230" i="3" s="1"/>
  <c r="K246" i="1"/>
  <c r="A246" i="3" s="1"/>
  <c r="K3" i="1"/>
  <c r="A3" i="3" s="1"/>
  <c r="K19" i="1"/>
  <c r="K35" i="1"/>
  <c r="A35" i="3" s="1"/>
  <c r="K51" i="1"/>
  <c r="K67" i="1"/>
  <c r="A67" i="3" s="1"/>
  <c r="K83" i="1"/>
  <c r="K99" i="1"/>
  <c r="A99" i="3" s="1"/>
  <c r="K115" i="1"/>
  <c r="K131" i="1"/>
  <c r="A131" i="3" s="1"/>
  <c r="K147" i="1"/>
  <c r="K163" i="1"/>
  <c r="A163" i="3" s="1"/>
  <c r="K179" i="1"/>
  <c r="K195" i="1"/>
  <c r="A195" i="3" s="1"/>
  <c r="K211" i="1"/>
  <c r="K227" i="1"/>
  <c r="A227" i="3" s="1"/>
  <c r="K243" i="1"/>
  <c r="A243" i="3" s="1"/>
  <c r="K259" i="1"/>
  <c r="A259" i="3" s="1"/>
  <c r="K16" i="1"/>
  <c r="K32" i="1"/>
  <c r="A32" i="3" s="1"/>
  <c r="K48" i="1"/>
  <c r="K64" i="1"/>
  <c r="A64" i="3" s="1"/>
  <c r="K80" i="1"/>
  <c r="K96" i="1"/>
  <c r="A96" i="3" s="1"/>
  <c r="K112" i="1"/>
  <c r="K128" i="1"/>
  <c r="A128" i="3" s="1"/>
  <c r="K144" i="1"/>
  <c r="K160" i="1"/>
  <c r="A160" i="3" s="1"/>
  <c r="K176" i="1"/>
  <c r="K192" i="1"/>
  <c r="K208" i="1"/>
  <c r="K224" i="1"/>
  <c r="A224" i="3" s="1"/>
  <c r="K240" i="1"/>
  <c r="K256" i="1"/>
  <c r="A256" i="3" s="1"/>
  <c r="K593" i="1"/>
  <c r="A593" i="3" s="1"/>
  <c r="K577" i="1"/>
  <c r="A577" i="3" s="1"/>
  <c r="K561" i="1"/>
  <c r="A561" i="3" s="1"/>
  <c r="K545" i="1"/>
  <c r="A545" i="3" s="1"/>
  <c r="K529" i="1"/>
  <c r="A529" i="3" s="1"/>
  <c r="K513" i="1"/>
  <c r="A513" i="3" s="1"/>
  <c r="K497" i="1"/>
  <c r="A497" i="3" s="1"/>
  <c r="K481" i="1"/>
  <c r="A481" i="3" s="1"/>
  <c r="K465" i="1"/>
  <c r="A465" i="3" s="1"/>
  <c r="K449" i="1"/>
  <c r="A449" i="3" s="1"/>
  <c r="K433" i="1"/>
  <c r="A433" i="3" s="1"/>
  <c r="K417" i="1"/>
  <c r="A417" i="3" s="1"/>
  <c r="K401" i="1"/>
  <c r="A401" i="3" s="1"/>
  <c r="K385" i="1"/>
  <c r="A385" i="3" s="1"/>
  <c r="K369" i="1"/>
  <c r="A369" i="3" s="1"/>
  <c r="K353" i="1"/>
  <c r="A353" i="3" s="1"/>
  <c r="K337" i="1"/>
  <c r="A337" i="3" s="1"/>
  <c r="K321" i="1"/>
  <c r="A321" i="3" s="1"/>
  <c r="K305" i="1"/>
  <c r="A305" i="3" s="1"/>
  <c r="K289" i="1"/>
  <c r="A289" i="3" s="1"/>
  <c r="K273" i="1"/>
  <c r="A273" i="3" s="1"/>
  <c r="K596" i="1"/>
  <c r="A596" i="3" s="1"/>
  <c r="K580" i="1"/>
  <c r="A580" i="3" s="1"/>
  <c r="K564" i="1"/>
  <c r="A564" i="3" s="1"/>
  <c r="K548" i="1"/>
  <c r="A548" i="3" s="1"/>
  <c r="K532" i="1"/>
  <c r="A532" i="3" s="1"/>
  <c r="K516" i="1"/>
  <c r="A516" i="3" s="1"/>
  <c r="K500" i="1"/>
  <c r="A500" i="3" s="1"/>
  <c r="K484" i="1"/>
  <c r="A484" i="3" s="1"/>
  <c r="K468" i="1"/>
  <c r="A468" i="3" s="1"/>
  <c r="K452" i="1"/>
  <c r="A452" i="3" s="1"/>
  <c r="K436" i="1"/>
  <c r="A436" i="3" s="1"/>
  <c r="K420" i="1"/>
  <c r="A420" i="3" s="1"/>
  <c r="K404" i="1"/>
  <c r="A404" i="3" s="1"/>
  <c r="K388" i="1"/>
  <c r="A388" i="3" s="1"/>
  <c r="K372" i="1"/>
  <c r="A372" i="3" s="1"/>
  <c r="K356" i="1"/>
  <c r="A356" i="3" s="1"/>
  <c r="K340" i="1"/>
  <c r="A340" i="3" s="1"/>
  <c r="K324" i="1"/>
  <c r="A324" i="3" s="1"/>
  <c r="K308" i="1"/>
  <c r="A308" i="3" s="1"/>
  <c r="K292" i="1"/>
  <c r="A292" i="3" s="1"/>
  <c r="K276" i="1"/>
  <c r="A276" i="3" s="1"/>
  <c r="K599" i="1"/>
  <c r="A599" i="3" s="1"/>
  <c r="K583" i="1"/>
  <c r="A583" i="3" s="1"/>
  <c r="K567" i="1"/>
  <c r="A567" i="3" s="1"/>
  <c r="K551" i="1"/>
  <c r="A551" i="3" s="1"/>
  <c r="K535" i="1"/>
  <c r="A535" i="3" s="1"/>
  <c r="K519" i="1"/>
  <c r="A519" i="3" s="1"/>
  <c r="K503" i="1"/>
  <c r="A503" i="3" s="1"/>
  <c r="K487" i="1"/>
  <c r="A487" i="3" s="1"/>
  <c r="K471" i="1"/>
  <c r="A471" i="3" s="1"/>
  <c r="K455" i="1"/>
  <c r="A455" i="3" s="1"/>
  <c r="K439" i="1"/>
  <c r="A439" i="3" s="1"/>
  <c r="K423" i="1"/>
  <c r="A423" i="3" s="1"/>
  <c r="K407" i="1"/>
  <c r="A407" i="3" s="1"/>
  <c r="K391" i="1"/>
  <c r="A391" i="3" s="1"/>
  <c r="K375" i="1"/>
  <c r="A375" i="3" s="1"/>
  <c r="K327" i="1"/>
  <c r="A327" i="3" s="1"/>
  <c r="K311" i="1"/>
  <c r="A311" i="3" s="1"/>
  <c r="K262" i="1"/>
  <c r="A262" i="3" s="1"/>
  <c r="K266" i="1"/>
  <c r="A266" i="3" s="1"/>
  <c r="K590" i="1"/>
  <c r="A590" i="3" s="1"/>
  <c r="K574" i="1"/>
  <c r="A574" i="3" s="1"/>
  <c r="K558" i="1"/>
  <c r="A558" i="3" s="1"/>
  <c r="K542" i="1"/>
  <c r="A542" i="3" s="1"/>
  <c r="K526" i="1"/>
  <c r="A526" i="3" s="1"/>
  <c r="K510" i="1"/>
  <c r="A510" i="3" s="1"/>
  <c r="K494" i="1"/>
  <c r="A494" i="3" s="1"/>
  <c r="K478" i="1"/>
  <c r="A478" i="3" s="1"/>
  <c r="K462" i="1"/>
  <c r="A462" i="3" s="1"/>
  <c r="K446" i="1"/>
  <c r="A446" i="3" s="1"/>
  <c r="K430" i="1"/>
  <c r="A430" i="3" s="1"/>
  <c r="K414" i="1"/>
  <c r="A414" i="3" s="1"/>
  <c r="K398" i="1"/>
  <c r="A398" i="3" s="1"/>
  <c r="K382" i="1"/>
  <c r="A382" i="3" s="1"/>
  <c r="K366" i="1"/>
  <c r="A366" i="3" s="1"/>
  <c r="K350" i="1"/>
  <c r="A350" i="3" s="1"/>
  <c r="K334" i="1"/>
  <c r="A334" i="3" s="1"/>
  <c r="K318" i="1"/>
  <c r="A318" i="3" s="1"/>
  <c r="K302" i="1"/>
  <c r="A302" i="3" s="1"/>
  <c r="K286" i="1"/>
  <c r="A286" i="3" s="1"/>
  <c r="K270" i="1"/>
  <c r="A270" i="3" s="1"/>
  <c r="K17" i="1"/>
  <c r="K33" i="1"/>
  <c r="A33" i="3" s="1"/>
  <c r="K49" i="1"/>
  <c r="K65" i="1"/>
  <c r="A65" i="3" s="1"/>
  <c r="K81" i="1"/>
  <c r="K97" i="1"/>
  <c r="A97" i="3" s="1"/>
  <c r="K113" i="1"/>
  <c r="K129" i="1"/>
  <c r="A129" i="3" s="1"/>
  <c r="K145" i="1"/>
  <c r="K161" i="1"/>
  <c r="A161" i="3" s="1"/>
  <c r="K177" i="1"/>
  <c r="K193" i="1"/>
  <c r="A193" i="3" s="1"/>
  <c r="K209" i="1"/>
  <c r="K225" i="1"/>
  <c r="A225" i="3" s="1"/>
  <c r="K241" i="1"/>
  <c r="K257" i="1"/>
  <c r="A257" i="3" s="1"/>
  <c r="K10" i="1"/>
  <c r="K26" i="1"/>
  <c r="A26" i="3" s="1"/>
  <c r="K42" i="1"/>
  <c r="K58" i="1"/>
  <c r="A58" i="3" s="1"/>
  <c r="K74" i="1"/>
  <c r="K90" i="1"/>
  <c r="K106" i="1"/>
  <c r="K122" i="1"/>
  <c r="A122" i="3" s="1"/>
  <c r="K138" i="1"/>
  <c r="K154" i="1"/>
  <c r="A154" i="3" s="1"/>
  <c r="K170" i="1"/>
  <c r="K186" i="1"/>
  <c r="A186" i="3" s="1"/>
  <c r="K202" i="1"/>
  <c r="K218" i="1"/>
  <c r="A218" i="3" s="1"/>
  <c r="K234" i="1"/>
  <c r="K250" i="1"/>
  <c r="A250" i="3" s="1"/>
  <c r="K7" i="1"/>
  <c r="K23" i="1"/>
  <c r="A23" i="3" s="1"/>
  <c r="K39" i="1"/>
  <c r="K55" i="1"/>
  <c r="A55" i="3" s="1"/>
  <c r="K71" i="1"/>
  <c r="K87" i="1"/>
  <c r="A87" i="3" s="1"/>
  <c r="K103" i="1"/>
  <c r="K119" i="1"/>
  <c r="A119" i="3" s="1"/>
  <c r="K135" i="1"/>
  <c r="K151" i="1"/>
  <c r="A151" i="3" s="1"/>
  <c r="K167" i="1"/>
  <c r="K183" i="1"/>
  <c r="A183" i="3" s="1"/>
  <c r="K199" i="1"/>
  <c r="K215" i="1"/>
  <c r="A215" i="3" s="1"/>
  <c r="K231" i="1"/>
  <c r="K247" i="1"/>
  <c r="A247" i="3" s="1"/>
  <c r="K4" i="1"/>
  <c r="K20" i="1"/>
  <c r="A20" i="3" s="1"/>
  <c r="K36" i="1"/>
  <c r="K52" i="1"/>
  <c r="A52" i="3" s="1"/>
  <c r="K68" i="1"/>
  <c r="K84" i="1"/>
  <c r="A84" i="3" s="1"/>
  <c r="K100" i="1"/>
  <c r="K116" i="1"/>
  <c r="A116" i="3" s="1"/>
  <c r="K132" i="1"/>
  <c r="K148" i="1"/>
  <c r="A148" i="3" s="1"/>
  <c r="K164" i="1"/>
  <c r="K180" i="1"/>
  <c r="A180" i="3" s="1"/>
  <c r="K196" i="1"/>
  <c r="K212" i="1"/>
  <c r="A212" i="3" s="1"/>
  <c r="K228" i="1"/>
  <c r="K244" i="1"/>
  <c r="A244" i="3" s="1"/>
  <c r="K260" i="1"/>
  <c r="A260" i="3" s="1"/>
  <c r="K589" i="1"/>
  <c r="A589" i="3" s="1"/>
  <c r="K573" i="1"/>
  <c r="A573" i="3" s="1"/>
  <c r="K557" i="1"/>
  <c r="A557" i="3" s="1"/>
  <c r="K541" i="1"/>
  <c r="A541" i="3" s="1"/>
  <c r="K525" i="1"/>
  <c r="A525" i="3" s="1"/>
  <c r="K509" i="1"/>
  <c r="A509" i="3" s="1"/>
  <c r="K493" i="1"/>
  <c r="A493" i="3" s="1"/>
  <c r="K477" i="1"/>
  <c r="A477" i="3" s="1"/>
  <c r="K461" i="1"/>
  <c r="A461" i="3" s="1"/>
  <c r="K445" i="1"/>
  <c r="A445" i="3" s="1"/>
  <c r="K429" i="1"/>
  <c r="A429" i="3" s="1"/>
  <c r="K413" i="1"/>
  <c r="A413" i="3" s="1"/>
  <c r="K397" i="1"/>
  <c r="A397" i="3" s="1"/>
  <c r="K381" i="1"/>
  <c r="A381" i="3" s="1"/>
  <c r="K365" i="1"/>
  <c r="A365" i="3" s="1"/>
  <c r="K349" i="1"/>
  <c r="A349" i="3" s="1"/>
  <c r="K333" i="1"/>
  <c r="A333" i="3" s="1"/>
  <c r="K317" i="1"/>
  <c r="A317" i="3" s="1"/>
  <c r="K301" i="1"/>
  <c r="A301" i="3" s="1"/>
  <c r="K285" i="1"/>
  <c r="A285" i="3" s="1"/>
  <c r="K269" i="1"/>
  <c r="A269" i="3" s="1"/>
  <c r="K592" i="1"/>
  <c r="A592" i="3" s="1"/>
  <c r="K576" i="1"/>
  <c r="A576" i="3" s="1"/>
  <c r="K560" i="1"/>
  <c r="A560" i="3" s="1"/>
  <c r="K544" i="1"/>
  <c r="A544" i="3" s="1"/>
  <c r="K528" i="1"/>
  <c r="A528" i="3" s="1"/>
  <c r="K512" i="1"/>
  <c r="A512" i="3" s="1"/>
  <c r="K496" i="1"/>
  <c r="A496" i="3" s="1"/>
  <c r="K480" i="1"/>
  <c r="A480" i="3" s="1"/>
  <c r="K464" i="1"/>
  <c r="A464" i="3" s="1"/>
  <c r="K448" i="1"/>
  <c r="A448" i="3" s="1"/>
  <c r="K432" i="1"/>
  <c r="A432" i="3" s="1"/>
  <c r="K416" i="1"/>
  <c r="A416" i="3" s="1"/>
  <c r="K400" i="1"/>
  <c r="A400" i="3" s="1"/>
  <c r="K384" i="1"/>
  <c r="A384" i="3" s="1"/>
  <c r="K368" i="1"/>
  <c r="A368" i="3" s="1"/>
  <c r="K352" i="1"/>
  <c r="A352" i="3" s="1"/>
  <c r="K336" i="1"/>
  <c r="A336" i="3" s="1"/>
  <c r="K320" i="1"/>
  <c r="A320" i="3" s="1"/>
  <c r="K304" i="1"/>
  <c r="A304" i="3" s="1"/>
  <c r="K288" i="1"/>
  <c r="A288" i="3" s="1"/>
  <c r="K272" i="1"/>
  <c r="A272" i="3" s="1"/>
  <c r="K595" i="1"/>
  <c r="A595" i="3" s="1"/>
  <c r="K579" i="1"/>
  <c r="A579" i="3" s="1"/>
  <c r="K563" i="1"/>
  <c r="A563" i="3" s="1"/>
  <c r="K547" i="1"/>
  <c r="A547" i="3" s="1"/>
  <c r="K531" i="1"/>
  <c r="A531" i="3" s="1"/>
  <c r="K515" i="1"/>
  <c r="A515" i="3" s="1"/>
  <c r="K499" i="1"/>
  <c r="A499" i="3" s="1"/>
  <c r="K483" i="1"/>
  <c r="A483" i="3" s="1"/>
  <c r="K467" i="1"/>
  <c r="A467" i="3" s="1"/>
  <c r="K451" i="1"/>
  <c r="A451" i="3" s="1"/>
  <c r="K435" i="1"/>
  <c r="A435" i="3" s="1"/>
  <c r="K419" i="1"/>
  <c r="A419" i="3" s="1"/>
  <c r="K403" i="1"/>
  <c r="A403" i="3" s="1"/>
  <c r="K387" i="1"/>
  <c r="A387" i="3" s="1"/>
  <c r="K371" i="1"/>
  <c r="A371" i="3" s="1"/>
  <c r="K355" i="1"/>
  <c r="A355" i="3" s="1"/>
  <c r="K339" i="1"/>
  <c r="A339" i="3" s="1"/>
  <c r="K323" i="1"/>
  <c r="A323" i="3" s="1"/>
  <c r="K307" i="1"/>
  <c r="A307" i="3" s="1"/>
  <c r="K291" i="1"/>
  <c r="A291" i="3" s="1"/>
  <c r="K275" i="1"/>
  <c r="A275" i="3" s="1"/>
  <c r="K2" i="1"/>
  <c r="K586" i="1"/>
  <c r="A586" i="3" s="1"/>
  <c r="K570" i="1"/>
  <c r="A570" i="3" s="1"/>
  <c r="K554" i="1"/>
  <c r="A554" i="3" s="1"/>
  <c r="K538" i="1"/>
  <c r="A538" i="3" s="1"/>
  <c r="K522" i="1"/>
  <c r="A522" i="3" s="1"/>
  <c r="K506" i="1"/>
  <c r="A506" i="3" s="1"/>
  <c r="K490" i="1"/>
  <c r="A490" i="3" s="1"/>
  <c r="K474" i="1"/>
  <c r="A474" i="3" s="1"/>
  <c r="K458" i="1"/>
  <c r="A458" i="3" s="1"/>
  <c r="K442" i="1"/>
  <c r="A442" i="3" s="1"/>
  <c r="K426" i="1"/>
  <c r="A426" i="3" s="1"/>
  <c r="K410" i="1"/>
  <c r="A410" i="3" s="1"/>
  <c r="K394" i="1"/>
  <c r="A394" i="3" s="1"/>
  <c r="K378" i="1"/>
  <c r="A378" i="3" s="1"/>
  <c r="K362" i="1"/>
  <c r="A362" i="3" s="1"/>
  <c r="K346" i="1"/>
  <c r="A346" i="3" s="1"/>
  <c r="K330" i="1"/>
  <c r="A330" i="3" s="1"/>
  <c r="K314" i="1"/>
  <c r="A314" i="3" s="1"/>
  <c r="K298" i="1"/>
  <c r="A298" i="3" s="1"/>
  <c r="K282" i="1"/>
  <c r="A282" i="3" s="1"/>
  <c r="K5" i="1"/>
  <c r="A5" i="3" s="1"/>
  <c r="K21" i="1"/>
  <c r="K37" i="1"/>
  <c r="A37" i="3" s="1"/>
  <c r="K53" i="1"/>
  <c r="K69" i="1"/>
  <c r="A69" i="3" s="1"/>
  <c r="K85" i="1"/>
  <c r="K101" i="1"/>
  <c r="A101" i="3" s="1"/>
  <c r="K117" i="1"/>
  <c r="K133" i="1"/>
  <c r="A133" i="3" s="1"/>
  <c r="K149" i="1"/>
  <c r="K165" i="1"/>
  <c r="A165" i="3" s="1"/>
  <c r="K181" i="1"/>
  <c r="K197" i="1"/>
  <c r="A197" i="3" s="1"/>
  <c r="K213" i="1"/>
  <c r="K229" i="1"/>
  <c r="A229" i="3" s="1"/>
  <c r="K245" i="1"/>
  <c r="A245" i="3" s="1"/>
  <c r="K261" i="1"/>
  <c r="A261" i="3" s="1"/>
  <c r="K14" i="1"/>
  <c r="K30" i="1"/>
  <c r="A30" i="3" s="1"/>
  <c r="K46" i="1"/>
  <c r="K62" i="1"/>
  <c r="A62" i="3" s="1"/>
  <c r="K78" i="1"/>
  <c r="K94" i="1"/>
  <c r="A94" i="3" s="1"/>
  <c r="K110" i="1"/>
  <c r="K126" i="1"/>
  <c r="A126" i="3" s="1"/>
  <c r="K142" i="1"/>
  <c r="K158" i="1"/>
  <c r="A158" i="3" s="1"/>
  <c r="K174" i="1"/>
  <c r="K190" i="1"/>
  <c r="A190" i="3" s="1"/>
  <c r="K206" i="1"/>
  <c r="K222" i="1"/>
  <c r="A222" i="3" s="1"/>
  <c r="K238" i="1"/>
  <c r="K254" i="1"/>
  <c r="A254" i="3" s="1"/>
  <c r="K11" i="1"/>
  <c r="K27" i="1"/>
  <c r="A27" i="3" s="1"/>
  <c r="K43" i="1"/>
  <c r="K59" i="1"/>
  <c r="A59" i="3" s="1"/>
  <c r="K75" i="1"/>
  <c r="K91" i="1"/>
  <c r="A91" i="3" s="1"/>
  <c r="K107" i="1"/>
  <c r="K123" i="1"/>
  <c r="A123" i="3" s="1"/>
  <c r="K139" i="1"/>
  <c r="K155" i="1"/>
  <c r="A155" i="3" s="1"/>
  <c r="K171" i="1"/>
  <c r="K187" i="1"/>
  <c r="A187" i="3" s="1"/>
  <c r="K203" i="1"/>
  <c r="K219" i="1"/>
  <c r="A219" i="3" s="1"/>
  <c r="K235" i="1"/>
  <c r="K251" i="1"/>
  <c r="A251" i="3" s="1"/>
  <c r="K8" i="1"/>
  <c r="K24" i="1"/>
  <c r="A24" i="3" s="1"/>
  <c r="K40" i="1"/>
  <c r="K56" i="1"/>
  <c r="A56" i="3" s="1"/>
  <c r="K72" i="1"/>
  <c r="K88" i="1"/>
  <c r="A88" i="3" s="1"/>
  <c r="K104" i="1"/>
  <c r="K120" i="1"/>
  <c r="A120" i="3" s="1"/>
  <c r="K136" i="1"/>
  <c r="K152" i="1"/>
  <c r="A152" i="3" s="1"/>
  <c r="K168" i="1"/>
  <c r="K184" i="1"/>
  <c r="A184" i="3" s="1"/>
  <c r="K200" i="1"/>
  <c r="K216" i="1"/>
  <c r="A216" i="3" s="1"/>
  <c r="K232" i="1"/>
  <c r="K248" i="1"/>
  <c r="A248" i="3" s="1"/>
  <c r="K601" i="1"/>
  <c r="A601" i="3" s="1"/>
  <c r="K585" i="1"/>
  <c r="A585" i="3" s="1"/>
  <c r="K569" i="1"/>
  <c r="A569" i="3" s="1"/>
  <c r="K553" i="1"/>
  <c r="A553" i="3" s="1"/>
  <c r="K537" i="1"/>
  <c r="A537" i="3" s="1"/>
  <c r="K521" i="1"/>
  <c r="A521" i="3" s="1"/>
  <c r="K505" i="1"/>
  <c r="A505" i="3" s="1"/>
  <c r="K489" i="1"/>
  <c r="A489" i="3" s="1"/>
  <c r="K473" i="1"/>
  <c r="A473" i="3" s="1"/>
  <c r="K457" i="1"/>
  <c r="A457" i="3" s="1"/>
  <c r="K441" i="1"/>
  <c r="A441" i="3" s="1"/>
  <c r="K425" i="1"/>
  <c r="A425" i="3" s="1"/>
  <c r="K409" i="1"/>
  <c r="A409" i="3" s="1"/>
  <c r="K393" i="1"/>
  <c r="A393" i="3" s="1"/>
  <c r="K377" i="1"/>
  <c r="A377" i="3" s="1"/>
  <c r="K361" i="1"/>
  <c r="A361" i="3" s="1"/>
  <c r="K345" i="1"/>
  <c r="A345" i="3" s="1"/>
  <c r="K329" i="1"/>
  <c r="A329" i="3" s="1"/>
  <c r="K313" i="1"/>
  <c r="A313" i="3" s="1"/>
  <c r="K297" i="1"/>
  <c r="A297" i="3" s="1"/>
  <c r="K281" i="1"/>
  <c r="A281" i="3" s="1"/>
  <c r="K264" i="1"/>
  <c r="A264" i="3" s="1"/>
  <c r="K588" i="1"/>
  <c r="A588" i="3" s="1"/>
  <c r="K572" i="1"/>
  <c r="A572" i="3" s="1"/>
  <c r="K556" i="1"/>
  <c r="A556" i="3" s="1"/>
  <c r="K540" i="1"/>
  <c r="A540" i="3" s="1"/>
  <c r="K524" i="1"/>
  <c r="A524" i="3" s="1"/>
  <c r="K508" i="1"/>
  <c r="A508" i="3" s="1"/>
  <c r="K492" i="1"/>
  <c r="A492" i="3" s="1"/>
  <c r="K476" i="1"/>
  <c r="A476" i="3" s="1"/>
  <c r="K460" i="1"/>
  <c r="A460" i="3" s="1"/>
  <c r="K444" i="1"/>
  <c r="A444" i="3" s="1"/>
  <c r="K428" i="1"/>
  <c r="A428" i="3" s="1"/>
  <c r="K412" i="1"/>
  <c r="A412" i="3" s="1"/>
  <c r="K396" i="1"/>
  <c r="A396" i="3" s="1"/>
  <c r="K380" i="1"/>
  <c r="A380" i="3" s="1"/>
  <c r="K364" i="1"/>
  <c r="A364" i="3" s="1"/>
  <c r="K348" i="1"/>
  <c r="A348" i="3" s="1"/>
  <c r="K332" i="1"/>
  <c r="A332" i="3" s="1"/>
  <c r="K316" i="1"/>
  <c r="A316" i="3" s="1"/>
  <c r="K300" i="1"/>
  <c r="A300" i="3" s="1"/>
  <c r="K284" i="1"/>
  <c r="A284" i="3" s="1"/>
  <c r="K268" i="1"/>
  <c r="A268" i="3" s="1"/>
  <c r="K591" i="1"/>
  <c r="A591" i="3" s="1"/>
  <c r="K575" i="1"/>
  <c r="A575" i="3" s="1"/>
  <c r="K559" i="1"/>
  <c r="A559" i="3" s="1"/>
  <c r="K543" i="1"/>
  <c r="A543" i="3" s="1"/>
  <c r="K527" i="1"/>
  <c r="A527" i="3" s="1"/>
  <c r="K511" i="1"/>
  <c r="A511" i="3" s="1"/>
  <c r="K495" i="1"/>
  <c r="A495" i="3" s="1"/>
  <c r="K479" i="1"/>
  <c r="A479" i="3" s="1"/>
  <c r="K463" i="1"/>
  <c r="A463" i="3" s="1"/>
  <c r="K447" i="1"/>
  <c r="A447" i="3" s="1"/>
  <c r="K431" i="1"/>
  <c r="A431" i="3" s="1"/>
  <c r="K415" i="1"/>
  <c r="A415" i="3" s="1"/>
  <c r="K399" i="1"/>
  <c r="A399" i="3" s="1"/>
  <c r="K383" i="1"/>
  <c r="A383" i="3" s="1"/>
  <c r="K367" i="1"/>
  <c r="A367" i="3" s="1"/>
  <c r="K351" i="1"/>
  <c r="A351" i="3" s="1"/>
  <c r="K335" i="1"/>
  <c r="A335" i="3" s="1"/>
  <c r="K319" i="1"/>
  <c r="A319" i="3" s="1"/>
  <c r="K303" i="1"/>
  <c r="A303" i="3" s="1"/>
  <c r="K287" i="1"/>
  <c r="A287" i="3" s="1"/>
  <c r="K271" i="1"/>
  <c r="A271" i="3" s="1"/>
  <c r="K343" i="1"/>
  <c r="A343" i="3" s="1"/>
  <c r="K295" i="1"/>
  <c r="A295" i="3" s="1"/>
  <c r="K598" i="1"/>
  <c r="A598" i="3" s="1"/>
  <c r="K582" i="1"/>
  <c r="A582" i="3" s="1"/>
  <c r="K566" i="1"/>
  <c r="A566" i="3" s="1"/>
  <c r="K550" i="1"/>
  <c r="A550" i="3" s="1"/>
  <c r="K534" i="1"/>
  <c r="A534" i="3" s="1"/>
  <c r="K518" i="1"/>
  <c r="A518" i="3" s="1"/>
  <c r="K502" i="1"/>
  <c r="A502" i="3" s="1"/>
  <c r="K486" i="1"/>
  <c r="A486" i="3" s="1"/>
  <c r="K470" i="1"/>
  <c r="A470" i="3" s="1"/>
  <c r="K454" i="1"/>
  <c r="A454" i="3" s="1"/>
  <c r="K438" i="1"/>
  <c r="A438" i="3" s="1"/>
  <c r="K422" i="1"/>
  <c r="A422" i="3" s="1"/>
  <c r="K406" i="1"/>
  <c r="A406" i="3" s="1"/>
  <c r="K390" i="1"/>
  <c r="A390" i="3" s="1"/>
  <c r="K374" i="1"/>
  <c r="A374" i="3" s="1"/>
  <c r="K358" i="1"/>
  <c r="A358" i="3" s="1"/>
  <c r="K342" i="1"/>
  <c r="A342" i="3" s="1"/>
  <c r="K326" i="1"/>
  <c r="A326" i="3" s="1"/>
  <c r="K310" i="1"/>
  <c r="A310" i="3" s="1"/>
  <c r="K294" i="1"/>
  <c r="A294" i="3" s="1"/>
  <c r="K278" i="1"/>
  <c r="A278" i="3" s="1"/>
  <c r="K9" i="1"/>
  <c r="A9" i="3" s="1"/>
  <c r="K25" i="1"/>
  <c r="A25" i="3" s="1"/>
  <c r="K41" i="1"/>
  <c r="A41" i="3" s="1"/>
  <c r="K57" i="1"/>
  <c r="A57" i="3" s="1"/>
  <c r="K73" i="1"/>
  <c r="A73" i="3" s="1"/>
  <c r="K89" i="1"/>
  <c r="K105" i="1"/>
  <c r="A105" i="3" s="1"/>
  <c r="K121" i="1"/>
  <c r="A121" i="3" s="1"/>
  <c r="K137" i="1"/>
  <c r="A137" i="3" s="1"/>
  <c r="K153" i="1"/>
  <c r="A153" i="3" s="1"/>
  <c r="K169" i="1"/>
  <c r="A169" i="3" s="1"/>
  <c r="K185" i="1"/>
  <c r="A185" i="3" s="1"/>
  <c r="K201" i="1"/>
  <c r="A201" i="3" s="1"/>
  <c r="K217" i="1"/>
  <c r="A217" i="3" s="1"/>
  <c r="K233" i="1"/>
  <c r="A233" i="3" s="1"/>
  <c r="K249" i="1"/>
  <c r="A249" i="3" s="1"/>
  <c r="K265" i="1"/>
  <c r="A265" i="3" s="1"/>
  <c r="K18" i="1"/>
  <c r="K34" i="1"/>
  <c r="A34" i="3" s="1"/>
  <c r="K50" i="1"/>
  <c r="A50" i="3" s="1"/>
  <c r="K66" i="1"/>
  <c r="A66" i="3" s="1"/>
  <c r="K82" i="1"/>
  <c r="A82" i="3" s="1"/>
  <c r="K98" i="1"/>
  <c r="A98" i="3" s="1"/>
  <c r="K114" i="1"/>
  <c r="A114" i="3" s="1"/>
  <c r="K130" i="1"/>
  <c r="A130" i="3" s="1"/>
  <c r="K146" i="1"/>
  <c r="K162" i="1"/>
  <c r="A162" i="3" s="1"/>
  <c r="K178" i="1"/>
  <c r="A178" i="3" s="1"/>
  <c r="K194" i="1"/>
  <c r="A194" i="3" s="1"/>
  <c r="K210" i="1"/>
  <c r="K226" i="1"/>
  <c r="A226" i="3" s="1"/>
  <c r="K242" i="1"/>
  <c r="A242" i="3" s="1"/>
  <c r="K258" i="1"/>
  <c r="A258" i="3" s="1"/>
  <c r="K15" i="1"/>
  <c r="A15" i="3" s="1"/>
  <c r="K31" i="1"/>
  <c r="A31" i="3" s="1"/>
  <c r="K47" i="1"/>
  <c r="A47" i="3" s="1"/>
  <c r="K63" i="1"/>
  <c r="A63" i="3" s="1"/>
  <c r="K79" i="1"/>
  <c r="K95" i="1"/>
  <c r="A95" i="3" s="1"/>
  <c r="K111" i="1"/>
  <c r="K127" i="1"/>
  <c r="A127" i="3" s="1"/>
  <c r="K143" i="1"/>
  <c r="A143" i="3" s="1"/>
  <c r="K159" i="1"/>
  <c r="A159" i="3" s="1"/>
  <c r="K175" i="1"/>
  <c r="A175" i="3" s="1"/>
  <c r="K191" i="1"/>
  <c r="A191" i="3" s="1"/>
  <c r="K207" i="1"/>
  <c r="A207" i="3" s="1"/>
  <c r="K223" i="1"/>
  <c r="A223" i="3" s="1"/>
  <c r="K239" i="1"/>
  <c r="A239" i="3" s="1"/>
  <c r="K255" i="1"/>
  <c r="A255" i="3" s="1"/>
  <c r="K12" i="1"/>
  <c r="A12" i="3" s="1"/>
  <c r="K28" i="1"/>
  <c r="A28" i="3" s="1"/>
  <c r="K44" i="1"/>
  <c r="A44" i="3" s="1"/>
  <c r="K60" i="1"/>
  <c r="A60" i="3" s="1"/>
  <c r="K76" i="1"/>
  <c r="A76" i="3" s="1"/>
  <c r="K92" i="1"/>
  <c r="A92" i="3" s="1"/>
  <c r="K108" i="1"/>
  <c r="A108" i="3" s="1"/>
  <c r="K124" i="1"/>
  <c r="A124" i="3" s="1"/>
  <c r="K140" i="1"/>
  <c r="A140" i="3" s="1"/>
  <c r="K156" i="1"/>
  <c r="A156" i="3" s="1"/>
  <c r="K172" i="1"/>
  <c r="A172" i="3" s="1"/>
  <c r="K188" i="1"/>
  <c r="A188" i="3" s="1"/>
  <c r="K204" i="1"/>
  <c r="A204" i="3" s="1"/>
  <c r="K220" i="1"/>
  <c r="A220" i="3" s="1"/>
  <c r="K236" i="1"/>
  <c r="K252" i="1"/>
  <c r="A252" i="3" s="1"/>
  <c r="K597" i="1"/>
  <c r="A597" i="3" s="1"/>
  <c r="K581" i="1"/>
  <c r="A581" i="3" s="1"/>
  <c r="K565" i="1"/>
  <c r="A565" i="3" s="1"/>
  <c r="K549" i="1"/>
  <c r="A549" i="3" s="1"/>
  <c r="K533" i="1"/>
  <c r="A533" i="3" s="1"/>
  <c r="K517" i="1"/>
  <c r="A517" i="3" s="1"/>
  <c r="K501" i="1"/>
  <c r="A501" i="3" s="1"/>
  <c r="K485" i="1"/>
  <c r="A485" i="3" s="1"/>
  <c r="K469" i="1"/>
  <c r="A469" i="3" s="1"/>
  <c r="K453" i="1"/>
  <c r="A453" i="3" s="1"/>
  <c r="K437" i="1"/>
  <c r="A437" i="3" s="1"/>
  <c r="K421" i="1"/>
  <c r="A421" i="3" s="1"/>
  <c r="K405" i="1"/>
  <c r="A405" i="3" s="1"/>
  <c r="K389" i="1"/>
  <c r="A389" i="3" s="1"/>
  <c r="K373" i="1"/>
  <c r="A373" i="3" s="1"/>
  <c r="K357" i="1"/>
  <c r="A357" i="3" s="1"/>
  <c r="K341" i="1"/>
  <c r="A341" i="3" s="1"/>
  <c r="K325" i="1"/>
  <c r="A325" i="3" s="1"/>
  <c r="K309" i="1"/>
  <c r="A309" i="3" s="1"/>
  <c r="K293" i="1"/>
  <c r="A293" i="3" s="1"/>
  <c r="K277" i="1"/>
  <c r="A277" i="3" s="1"/>
  <c r="K600" i="1"/>
  <c r="A600" i="3" s="1"/>
  <c r="K584" i="1"/>
  <c r="A584" i="3" s="1"/>
  <c r="K568" i="1"/>
  <c r="A568" i="3" s="1"/>
  <c r="K552" i="1"/>
  <c r="A552" i="3" s="1"/>
  <c r="K536" i="1"/>
  <c r="A536" i="3" s="1"/>
  <c r="K520" i="1"/>
  <c r="A520" i="3" s="1"/>
  <c r="K504" i="1"/>
  <c r="A504" i="3" s="1"/>
  <c r="K488" i="1"/>
  <c r="A488" i="3" s="1"/>
  <c r="K472" i="1"/>
  <c r="A472" i="3" s="1"/>
  <c r="K456" i="1"/>
  <c r="A456" i="3" s="1"/>
  <c r="K440" i="1"/>
  <c r="A440" i="3" s="1"/>
  <c r="K424" i="1"/>
  <c r="A424" i="3" s="1"/>
  <c r="K408" i="1"/>
  <c r="A408" i="3" s="1"/>
  <c r="K392" i="1"/>
  <c r="A392" i="3" s="1"/>
  <c r="K376" i="1"/>
  <c r="A376" i="3" s="1"/>
  <c r="K360" i="1"/>
  <c r="A360" i="3" s="1"/>
  <c r="K344" i="1"/>
  <c r="A344" i="3" s="1"/>
  <c r="K328" i="1"/>
  <c r="A328" i="3" s="1"/>
  <c r="K312" i="1"/>
  <c r="A312" i="3" s="1"/>
  <c r="K296" i="1"/>
  <c r="A296" i="3" s="1"/>
  <c r="K280" i="1"/>
  <c r="A280" i="3" s="1"/>
  <c r="K263" i="1"/>
  <c r="A263" i="3" s="1"/>
  <c r="K587" i="1"/>
  <c r="A587" i="3" s="1"/>
  <c r="K571" i="1"/>
  <c r="A571" i="3" s="1"/>
  <c r="K555" i="1"/>
  <c r="A555" i="3" s="1"/>
  <c r="K539" i="1"/>
  <c r="A539" i="3" s="1"/>
  <c r="K523" i="1"/>
  <c r="A523" i="3" s="1"/>
  <c r="K507" i="1"/>
  <c r="A507" i="3" s="1"/>
  <c r="K491" i="1"/>
  <c r="A491" i="3" s="1"/>
  <c r="K475" i="1"/>
  <c r="A475" i="3" s="1"/>
  <c r="K459" i="1"/>
  <c r="A459" i="3" s="1"/>
  <c r="K443" i="1"/>
  <c r="A443" i="3" s="1"/>
  <c r="K427" i="1"/>
  <c r="A427" i="3" s="1"/>
  <c r="K411" i="1"/>
  <c r="A411" i="3" s="1"/>
  <c r="K395" i="1"/>
  <c r="A395" i="3" s="1"/>
  <c r="K379" i="1"/>
  <c r="A379" i="3" s="1"/>
  <c r="K363" i="1"/>
  <c r="A363" i="3" s="1"/>
  <c r="K347" i="1"/>
  <c r="A347" i="3" s="1"/>
  <c r="K331" i="1"/>
  <c r="A331" i="3" s="1"/>
  <c r="K315" i="1"/>
  <c r="A315" i="3" s="1"/>
  <c r="K299" i="1"/>
  <c r="A299" i="3" s="1"/>
  <c r="K283" i="1"/>
  <c r="A283" i="3" s="1"/>
  <c r="K267" i="1"/>
  <c r="A267" i="3" s="1"/>
  <c r="K359" i="1"/>
  <c r="A359" i="3" s="1"/>
  <c r="K279" i="1"/>
  <c r="A279" i="3" s="1"/>
  <c r="A182" i="3"/>
  <c r="A61" i="3"/>
  <c r="A18" i="3"/>
  <c r="A208" i="3"/>
  <c r="A144" i="3"/>
  <c r="A80" i="3"/>
  <c r="A16" i="3"/>
  <c r="A2" i="3"/>
  <c r="A70" i="3"/>
  <c r="A113" i="3"/>
  <c r="A192" i="3"/>
  <c r="A111" i="3"/>
  <c r="A176" i="3"/>
  <c r="A29" i="3"/>
  <c r="A240" i="3"/>
  <c r="A112" i="3"/>
  <c r="A48" i="3"/>
  <c r="A199" i="3"/>
  <c r="A214" i="3"/>
  <c r="A213" i="3"/>
  <c r="A79" i="3"/>
  <c r="A142" i="3"/>
  <c r="A238" i="3"/>
  <c r="A206" i="3"/>
  <c r="A170" i="3"/>
  <c r="A106" i="3"/>
  <c r="A42" i="3"/>
  <c r="A202" i="3"/>
  <c r="A211" i="3"/>
  <c r="A179" i="3"/>
  <c r="A118" i="3"/>
  <c r="A54" i="3"/>
  <c r="A125" i="3"/>
  <c r="A93" i="3"/>
  <c r="A10" i="3"/>
  <c r="A189" i="3"/>
  <c r="A236" i="3"/>
  <c r="A171" i="3"/>
  <c r="A139" i="3"/>
  <c r="A107" i="3"/>
  <c r="A75" i="3"/>
  <c r="A43" i="3"/>
  <c r="A11" i="3"/>
  <c r="A210" i="3"/>
  <c r="A231" i="3"/>
  <c r="A90" i="3"/>
  <c r="A235" i="3"/>
  <c r="A203" i="3"/>
  <c r="A117" i="3"/>
  <c r="A89" i="3"/>
  <c r="A53" i="3"/>
  <c r="A21" i="3"/>
  <c r="A241" i="3"/>
  <c r="A209" i="3"/>
  <c r="A157" i="3"/>
  <c r="A232" i="3"/>
  <c r="A200" i="3"/>
  <c r="A168" i="3"/>
  <c r="A136" i="3"/>
  <c r="A104" i="3"/>
  <c r="A72" i="3"/>
  <c r="A40" i="3"/>
  <c r="A8" i="3"/>
  <c r="A167" i="3"/>
  <c r="A135" i="3"/>
  <c r="A103" i="3"/>
  <c r="A71" i="3"/>
  <c r="A39" i="3"/>
  <c r="A7" i="3"/>
  <c r="A146" i="3"/>
  <c r="A78" i="3"/>
  <c r="A174" i="3"/>
  <c r="A110" i="3"/>
  <c r="A46" i="3"/>
  <c r="A138" i="3"/>
  <c r="A74" i="3"/>
  <c r="A234" i="3"/>
  <c r="A150" i="3"/>
  <c r="A86" i="3"/>
  <c r="A14" i="3"/>
  <c r="A221" i="3"/>
  <c r="A181" i="3"/>
  <c r="A145" i="3"/>
  <c r="A81" i="3"/>
  <c r="A49" i="3"/>
  <c r="A17" i="3"/>
  <c r="A22" i="3"/>
  <c r="A177" i="3"/>
  <c r="A149" i="3"/>
  <c r="A85" i="3"/>
  <c r="A228" i="3"/>
  <c r="A196" i="3"/>
  <c r="A164" i="3"/>
  <c r="A132" i="3"/>
  <c r="A100" i="3"/>
  <c r="A68" i="3"/>
  <c r="A36" i="3"/>
  <c r="A4" i="3"/>
  <c r="A147" i="3"/>
  <c r="A115" i="3"/>
  <c r="A83" i="3"/>
  <c r="A51" i="3"/>
  <c r="A19" i="3"/>
  <c r="J4" i="3" a="1"/>
  <c r="O4" i="3" a="1"/>
  <c r="J7" i="3" a="1"/>
  <c r="O7" i="3" a="1"/>
  <c r="O19" i="3" a="1"/>
  <c r="O13" i="3" a="1"/>
  <c r="J19" i="3" a="1"/>
  <c r="J13" i="3" a="1"/>
  <c r="J10" i="3" a="1"/>
  <c r="J16" i="3" a="1"/>
  <c r="O10" i="3" a="1"/>
  <c r="O16" i="3" a="1"/>
  <c r="O4" i="3" l="1"/>
  <c r="J4" i="3"/>
  <c r="S4" i="3"/>
  <c r="S5" i="3" s="1"/>
  <c r="Q4" i="3"/>
  <c r="Q5" i="3" s="1"/>
  <c r="O7" i="3"/>
  <c r="J7" i="3"/>
  <c r="Q1" i="3"/>
  <c r="Q2" i="3" s="1"/>
  <c r="Q7" i="3"/>
  <c r="Q8" i="3" s="1"/>
  <c r="N19" i="1"/>
  <c r="X18" i="1" s="1"/>
  <c r="AA18" i="1" s="1"/>
  <c r="S7" i="3"/>
  <c r="S8" i="3" s="1"/>
  <c r="N18" i="1"/>
  <c r="N17" i="1" s="1"/>
  <c r="Y19" i="1"/>
  <c r="O10" i="3"/>
  <c r="S10" i="3" s="1"/>
  <c r="S11" i="3" s="1"/>
  <c r="J10" i="3"/>
  <c r="Q10" i="3" s="1"/>
  <c r="Q11" i="3" s="1"/>
  <c r="S1" i="3"/>
  <c r="S2" i="3" s="1"/>
  <c r="O13" i="3"/>
  <c r="S13" i="3" s="1"/>
  <c r="S14" i="3" s="1"/>
  <c r="J13" i="3"/>
  <c r="Q13" i="3" s="1"/>
  <c r="Q14" i="3" s="1"/>
  <c r="J19" i="3"/>
  <c r="Q19" i="3" s="1"/>
  <c r="Q20" i="3" s="1"/>
  <c r="O19" i="3"/>
  <c r="S19" i="3" s="1"/>
  <c r="S20" i="3" s="1"/>
  <c r="J16" i="3"/>
  <c r="Q16" i="3" s="1"/>
  <c r="Q17" i="3" s="1"/>
  <c r="O16" i="3"/>
  <c r="S16" i="3" s="1"/>
  <c r="S17" i="3" s="1"/>
  <c r="R197" i="1"/>
  <c r="Y18" i="1" l="1"/>
  <c r="X19" i="1"/>
  <c r="R3" i="1"/>
  <c r="R19" i="1"/>
  <c r="R35" i="1"/>
  <c r="R51" i="1"/>
  <c r="R67" i="1"/>
  <c r="R83" i="1"/>
  <c r="R99" i="1"/>
  <c r="R115" i="1"/>
  <c r="R131" i="1"/>
  <c r="R147" i="1"/>
  <c r="R163" i="1"/>
  <c r="R179" i="1"/>
  <c r="R195" i="1"/>
  <c r="R211" i="1"/>
  <c r="R227" i="1"/>
  <c r="R12" i="1"/>
  <c r="R28" i="1"/>
  <c r="R44" i="1"/>
  <c r="R5" i="1"/>
  <c r="R21" i="1"/>
  <c r="R37" i="1"/>
  <c r="R53" i="1"/>
  <c r="R69" i="1"/>
  <c r="R85" i="1"/>
  <c r="R101" i="1"/>
  <c r="R117" i="1"/>
  <c r="R133" i="1"/>
  <c r="R149" i="1"/>
  <c r="R165" i="1"/>
  <c r="R181" i="1"/>
  <c r="R213" i="1"/>
  <c r="R229" i="1"/>
  <c r="R10" i="1"/>
  <c r="R26" i="1"/>
  <c r="R42" i="1"/>
  <c r="R76" i="1"/>
  <c r="R108" i="1"/>
  <c r="R140" i="1"/>
  <c r="R172" i="1"/>
  <c r="R204" i="1"/>
  <c r="R236" i="1"/>
  <c r="R62" i="1"/>
  <c r="R94" i="1"/>
  <c r="R126" i="1"/>
  <c r="R158" i="1"/>
  <c r="R190" i="1"/>
  <c r="R222" i="1"/>
  <c r="R80" i="1"/>
  <c r="R112" i="1"/>
  <c r="R144" i="1"/>
  <c r="R176" i="1"/>
  <c r="R208" i="1"/>
  <c r="R240" i="1"/>
  <c r="R82" i="1"/>
  <c r="R114" i="1"/>
  <c r="R146" i="1"/>
  <c r="R178" i="1"/>
  <c r="R226" i="1"/>
  <c r="R7" i="1"/>
  <c r="R23" i="1"/>
  <c r="R39" i="1"/>
  <c r="R55" i="1"/>
  <c r="R71" i="1"/>
  <c r="R87" i="1"/>
  <c r="R103" i="1"/>
  <c r="R119" i="1"/>
  <c r="R135" i="1"/>
  <c r="R151" i="1"/>
  <c r="R167" i="1"/>
  <c r="R183" i="1"/>
  <c r="R199" i="1"/>
  <c r="R215" i="1"/>
  <c r="R231" i="1"/>
  <c r="R16" i="1"/>
  <c r="R32" i="1"/>
  <c r="R48" i="1"/>
  <c r="R9" i="1"/>
  <c r="R25" i="1"/>
  <c r="R41" i="1"/>
  <c r="R57" i="1"/>
  <c r="R73" i="1"/>
  <c r="R89" i="1"/>
  <c r="R105" i="1"/>
  <c r="R121" i="1"/>
  <c r="R137" i="1"/>
  <c r="R153" i="1"/>
  <c r="R169" i="1"/>
  <c r="R185" i="1"/>
  <c r="R201" i="1"/>
  <c r="R217" i="1"/>
  <c r="R233" i="1"/>
  <c r="R14" i="1"/>
  <c r="R30" i="1"/>
  <c r="R46" i="1"/>
  <c r="R84" i="1"/>
  <c r="R116" i="1"/>
  <c r="R148" i="1"/>
  <c r="R180" i="1"/>
  <c r="R212" i="1"/>
  <c r="R230" i="1"/>
  <c r="R70" i="1"/>
  <c r="R102" i="1"/>
  <c r="R134" i="1"/>
  <c r="R166" i="1"/>
  <c r="R198" i="1"/>
  <c r="R238" i="1"/>
  <c r="R210" i="1"/>
  <c r="R54" i="1"/>
  <c r="R88" i="1"/>
  <c r="R120" i="1"/>
  <c r="R152" i="1"/>
  <c r="R184" i="1"/>
  <c r="R216" i="1"/>
  <c r="R58" i="1"/>
  <c r="R90" i="1"/>
  <c r="R122" i="1"/>
  <c r="R154" i="1"/>
  <c r="R186" i="1"/>
  <c r="R11" i="1"/>
  <c r="R27" i="1"/>
  <c r="R43" i="1"/>
  <c r="R59" i="1"/>
  <c r="R75" i="1"/>
  <c r="R91" i="1"/>
  <c r="R107" i="1"/>
  <c r="R123" i="1"/>
  <c r="R139" i="1"/>
  <c r="R155" i="1"/>
  <c r="R171" i="1"/>
  <c r="R187" i="1"/>
  <c r="R203" i="1"/>
  <c r="R219" i="1"/>
  <c r="R235" i="1"/>
  <c r="R4" i="1"/>
  <c r="R20" i="1"/>
  <c r="R36" i="1"/>
  <c r="R52" i="1"/>
  <c r="R13" i="1"/>
  <c r="R29" i="1"/>
  <c r="R45" i="1"/>
  <c r="R61" i="1"/>
  <c r="R77" i="1"/>
  <c r="R93" i="1"/>
  <c r="R109" i="1"/>
  <c r="R125" i="1"/>
  <c r="R141" i="1"/>
  <c r="R157" i="1"/>
  <c r="R173" i="1"/>
  <c r="R189" i="1"/>
  <c r="R205" i="1"/>
  <c r="R221" i="1"/>
  <c r="R237" i="1"/>
  <c r="R18" i="1"/>
  <c r="R34" i="1"/>
  <c r="R60" i="1"/>
  <c r="R92" i="1"/>
  <c r="R124" i="1"/>
  <c r="R156" i="1"/>
  <c r="R188" i="1"/>
  <c r="R220" i="1"/>
  <c r="R78" i="1"/>
  <c r="R110" i="1"/>
  <c r="R142" i="1"/>
  <c r="R174" i="1"/>
  <c r="R206" i="1"/>
  <c r="R234" i="1"/>
  <c r="R64" i="1"/>
  <c r="R96" i="1"/>
  <c r="R128" i="1"/>
  <c r="R160" i="1"/>
  <c r="R192" i="1"/>
  <c r="R224" i="1"/>
  <c r="R66" i="1"/>
  <c r="R98" i="1"/>
  <c r="R130" i="1"/>
  <c r="R162" i="1"/>
  <c r="R194" i="1"/>
  <c r="R15" i="1"/>
  <c r="R31" i="1"/>
  <c r="R47" i="1"/>
  <c r="R63" i="1"/>
  <c r="R79" i="1"/>
  <c r="R95" i="1"/>
  <c r="R111" i="1"/>
  <c r="R127" i="1"/>
  <c r="R143" i="1"/>
  <c r="R159" i="1"/>
  <c r="R175" i="1"/>
  <c r="R191" i="1"/>
  <c r="R207" i="1"/>
  <c r="R223" i="1"/>
  <c r="R239" i="1"/>
  <c r="R8" i="1"/>
  <c r="R24" i="1"/>
  <c r="R40" i="1"/>
  <c r="R56" i="1"/>
  <c r="R17" i="1"/>
  <c r="R33" i="1"/>
  <c r="R49" i="1"/>
  <c r="R65" i="1"/>
  <c r="R81" i="1"/>
  <c r="R97" i="1"/>
  <c r="R113" i="1"/>
  <c r="R129" i="1"/>
  <c r="R145" i="1"/>
  <c r="R161" i="1"/>
  <c r="R177" i="1"/>
  <c r="R193" i="1"/>
  <c r="R209" i="1"/>
  <c r="R225" i="1"/>
  <c r="R6" i="1"/>
  <c r="R22" i="1"/>
  <c r="R38" i="1"/>
  <c r="R68" i="1"/>
  <c r="R100" i="1"/>
  <c r="R132" i="1"/>
  <c r="R164" i="1"/>
  <c r="R196" i="1"/>
  <c r="R228" i="1"/>
  <c r="R218" i="1"/>
  <c r="R50" i="1"/>
  <c r="R86" i="1"/>
  <c r="R118" i="1"/>
  <c r="R150" i="1"/>
  <c r="R182" i="1"/>
  <c r="R214" i="1"/>
  <c r="R72" i="1"/>
  <c r="R104" i="1"/>
  <c r="R136" i="1"/>
  <c r="R168" i="1"/>
  <c r="R200" i="1"/>
  <c r="R232" i="1"/>
  <c r="R74" i="1"/>
  <c r="R106" i="1"/>
  <c r="R138" i="1"/>
  <c r="R170" i="1"/>
  <c r="R202" i="1"/>
  <c r="U18" i="1"/>
  <c r="U19" i="1"/>
  <c r="V18" i="1"/>
  <c r="V19" i="1"/>
  <c r="W18" i="1" l="1"/>
  <c r="W1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<sst xmlns="http://schemas.openxmlformats.org/spreadsheetml/2006/main" count="588" uniqueCount="53">
  <si>
    <t>No. of Points</t>
  </si>
  <si>
    <t>Avg Intensity</t>
  </si>
  <si>
    <t>Int. Intensity</t>
  </si>
  <si>
    <t>MinIntensity</t>
  </si>
  <si>
    <t xml:space="preserve">MaxIntensity				</t>
  </si>
  <si>
    <t>f/fo value</t>
  </si>
  <si>
    <t xml:space="preserve">Avg Min </t>
  </si>
  <si>
    <t xml:space="preserve">Avg Max </t>
  </si>
  <si>
    <t>2.) Select/insert the following:</t>
  </si>
  <si>
    <t>1.) Open Excel, File&gt;Open&gt;Find File&gt; Open .csv file with data</t>
  </si>
  <si>
    <t>3.) Copy all columns but omit the column title cells. For example:</t>
  </si>
  <si>
    <t xml:space="preserve">4.) Paste into F calc sheet starting at cell A2. </t>
  </si>
  <si>
    <t>Peaks Area</t>
  </si>
  <si>
    <t>Peak Values (Values/Baseline &gt; SNR)</t>
  </si>
  <si>
    <t>min of baseline</t>
  </si>
  <si>
    <t>Peaks area</t>
  </si>
  <si>
    <t>Max peak</t>
  </si>
  <si>
    <t>Avg Baseline</t>
  </si>
  <si>
    <t>Avg Peaks</t>
  </si>
  <si>
    <t>"goeIs_01"</t>
  </si>
  <si>
    <t xml:space="preserve"> "1"</t>
  </si>
  <si>
    <t>Decay from photobleaching</t>
  </si>
  <si>
    <t>End Min</t>
  </si>
  <si>
    <t>Begin. Min</t>
  </si>
  <si>
    <t>% Decay</t>
  </si>
  <si>
    <t>Avg Max Intensity</t>
  </si>
  <si>
    <r>
      <t>F/F</t>
    </r>
    <r>
      <rPr>
        <b/>
        <sz val="10"/>
        <color theme="1"/>
        <rFont val="Calibri (Body)"/>
      </rPr>
      <t>baseline</t>
    </r>
  </si>
  <si>
    <t>deltaF</t>
  </si>
  <si>
    <t>No. Peak Values</t>
  </si>
  <si>
    <t>Image</t>
  </si>
  <si>
    <t>Region</t>
  </si>
  <si>
    <t>Total Activity</t>
  </si>
  <si>
    <t xml:space="preserve">First cell with 90% of peak= </t>
  </si>
  <si>
    <t>1.) In cell J1, calculate the first cell with 90% of peak by typing "=TIMETOPEAK(" and selecting the first value after "BASELINE" up until the last value before another "BASELINE"</t>
  </si>
  <si>
    <t>Cells in Range</t>
  </si>
  <si>
    <t>Start</t>
  </si>
  <si>
    <t>End</t>
  </si>
  <si>
    <t>Peak 1</t>
  </si>
  <si>
    <t>2. Manually enter the row for the first cell in the range and the last cell in the range</t>
  </si>
  <si>
    <t xml:space="preserve">Last cell with 90% of peak = </t>
  </si>
  <si>
    <t xml:space="preserve">3. In cell Q1, calculate the last cell that is 90% of peak by typing "=PEAKTOBASELINE(" and selecting the same range as in step 1 </t>
  </si>
  <si>
    <t>Time in seconds =</t>
  </si>
  <si>
    <t>Time to 90% peak =</t>
  </si>
  <si>
    <t>90% Peak to Baseline=</t>
  </si>
  <si>
    <t>Peak 2</t>
  </si>
  <si>
    <t>Peak 3</t>
  </si>
  <si>
    <t>Peak 4</t>
  </si>
  <si>
    <t>Peak 5</t>
  </si>
  <si>
    <t>Peak 6</t>
  </si>
  <si>
    <t>Peak 7</t>
  </si>
  <si>
    <t>* Only include "peaks" (ranges of values that fall between cells with "BASELINE") it the range is &gt; than 12 frames (3 seconds)</t>
  </si>
  <si>
    <t xml:space="preserve">Note: </t>
  </si>
  <si>
    <t>Activity/Base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</si>
</sst>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 (Body)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9FFD4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/>
    <xf numFmtId="11" fontId="0" fillId="0" borderId="0" xfId="0" applyNumberFormat="1"/>
    <xf numFmtId="0" fontId="0" fillId="2" borderId="1" xfId="0" applyFill="1" applyBorder="1"/>
    <xf numFmtId="0" fontId="1" fillId="2" borderId="1" xfId="0" applyFont="1" applyFill="1" applyBorder="1"/>
    <xf numFmtId="0" fontId="0" fillId="0" borderId="0" xfId="0" applyAlignment="1">
      <alignment vertical="top"/>
    </xf>
    <xf numFmtId="0" fontId="2" fillId="0" borderId="0" xfId="0" applyFont="1"/>
    <xf numFmtId="0" fontId="1" fillId="2" borderId="0" xfId="0" applyFont="1" applyFill="1" applyBorder="1"/>
    <xf numFmtId="0" fontId="1" fillId="3" borderId="0" xfId="0" applyFont="1" applyFill="1"/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ont="1" applyFill="1" applyBorder="1"/>
    <xf numFmtId="0" fontId="0" fillId="2" borderId="2" xfId="0" applyFill="1" applyBorder="1"/>
    <xf numFmtId="0" fontId="1" fillId="0" borderId="0" xfId="0" applyFont="1"/>
    <xf numFmtId="0" fontId="1" fillId="2" borderId="2" xfId="0" applyFont="1" applyFill="1" applyBorder="1"/>
    <xf numFmtId="0" fontId="1" fillId="2" borderId="3" xfId="0" applyFont="1" applyFill="1" applyBorder="1"/>
    <xf numFmtId="0" fontId="0" fillId="2" borderId="3" xfId="0" applyFill="1" applyBorder="1"/>
    <xf numFmtId="0" fontId="1" fillId="2" borderId="4" xfId="0" applyFont="1" applyFill="1" applyBorder="1"/>
    <xf numFmtId="0" fontId="0" fillId="2" borderId="4" xfId="0" applyFont="1" applyFill="1" applyBorder="1"/>
    <xf numFmtId="0" fontId="4" fillId="0" borderId="0" xfId="0" applyFont="1"/>
    <xf numFmtId="0" fontId="0" fillId="4" borderId="0" xfId="0" applyFill="1"/>
    <xf numFmtId="0" fontId="1" fillId="4" borderId="0" xfId="0" applyFont="1" applyFill="1"/>
    <xf numFmtId="0" fontId="1" fillId="5" borderId="0" xfId="0" applyFont="1" applyFill="1"/>
    <xf numFmtId="0" fontId="5" fillId="5" borderId="0" xfId="0" applyFont="1" applyFill="1"/>
    <xf numFmtId="0" fontId="0" fillId="5" borderId="0" xfId="0" applyFill="1"/>
    <xf numFmtId="0" fontId="2" fillId="0" borderId="5" xfId="0" applyFont="1" applyBorder="1" applyAlignment="1">
      <alignment horizontal="right"/>
    </xf>
    <xf numFmtId="0" fontId="0" fillId="7" borderId="0" xfId="0" applyFill="1"/>
    <xf numFmtId="0" fontId="0" fillId="6" borderId="1" xfId="0" applyFill="1" applyBorder="1"/>
    <xf numFmtId="0" fontId="0" fillId="0" borderId="0" xfId="0" applyAlignment="1">
      <alignment vertical="top" wrapText="1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7" borderId="0" xfId="0" applyFill="1" applyAlignment="1">
      <alignment horizontal="center" wrapText="1"/>
    </xf>
    <xf numFmtId="0" fontId="5" fillId="8" borderId="0" xfId="0" applyFont="1" applyFill="1" applyAlignment="1">
      <alignment horizontal="center"/>
    </xf>
    <xf numFmtId="0" fontId="0" fillId="8" borderId="0" xfId="0" applyFill="1" applyAlignment="1">
      <alignment horizontal="center" vertical="top" wrapText="1"/>
    </xf>
    <xf numFmtId="0" fontId="0" fillId="4" borderId="0" xfId="0" applyFill="1" applyAlignment="1">
      <alignment horizontal="left" wrapText="1"/>
    </xf>
    <xf numFmtId="0" fontId="0" fillId="5" borderId="0" xfId="0" applyFill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9FF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'Entire Trace Calc'!$R$2:$R$600</c:f>
              <c:numCache>
                <c:formatCode>General</c:formatCode>
                <c:ptCount val="599"/>
                <c:pt idx="0">
                  <c:v>3.0436820262233506</c:v>
                </c:pt>
                <c:pt idx="1">
                  <c:v>2.5357047984466532</c:v>
                </c:pt>
                <c:pt idx="2">
                  <c:v>2.2714119186813719</c:v>
                </c:pt>
                <c:pt idx="3">
                  <c:v>2.1053327275967151</c:v>
                </c:pt>
                <c:pt idx="4">
                  <c:v>1.940984315890383</c:v>
                </c:pt>
                <c:pt idx="5">
                  <c:v>1.8178138491222031</c:v>
                </c:pt>
                <c:pt idx="6">
                  <c:v>1.6975850987860932</c:v>
                </c:pt>
                <c:pt idx="7">
                  <c:v>1.606903908002598</c:v>
                </c:pt>
                <c:pt idx="8">
                  <c:v>1.506406564160317</c:v>
                </c:pt>
                <c:pt idx="9">
                  <c:v>1.4373170851793471</c:v>
                </c:pt>
                <c:pt idx="10">
                  <c:v>1.380595159295025</c:v>
                </c:pt>
                <c:pt idx="11">
                  <c:v>1.3498253617685658</c:v>
                </c:pt>
                <c:pt idx="12">
                  <c:v>1.3030551999842241</c:v>
                </c:pt>
                <c:pt idx="13">
                  <c:v>1.2776133516339336</c:v>
                </c:pt>
                <c:pt idx="14">
                  <c:v>1.2211226599608793</c:v>
                </c:pt>
                <c:pt idx="15">
                  <c:v>1.2019936794385113</c:v>
                </c:pt>
                <c:pt idx="16">
                  <c:v>1.2262802260340087</c:v>
                </c:pt>
                <c:pt idx="17">
                  <c:v>1.2008062135265116</c:v>
                </c:pt>
                <c:pt idx="18">
                  <c:v>1.1731911113109212</c:v>
                </c:pt>
                <c:pt idx="19">
                  <c:v>1.1835340611066558</c:v>
                </c:pt>
                <c:pt idx="20">
                  <c:v>1.165436941519532</c:v>
                </c:pt>
                <c:pt idx="21">
                  <c:v>1.1648823271331075</c:v>
                </c:pt>
                <c:pt idx="22">
                  <c:v>1.1564979137207811</c:v>
                </c:pt>
                <c:pt idx="23">
                  <c:v>1.1512316849543871</c:v>
                </c:pt>
                <c:pt idx="24">
                  <c:v>1.1335422677923936</c:v>
                </c:pt>
                <c:pt idx="25">
                  <c:v>1.1299868244687632</c:v>
                </c:pt>
                <c:pt idx="26">
                  <c:v>1.1188841051217202</c:v>
                </c:pt>
                <c:pt idx="27">
                  <c:v>1.1137387092702367</c:v>
                </c:pt>
                <c:pt idx="28">
                  <c:v>1.094916592193649</c:v>
                </c:pt>
                <c:pt idx="29">
                  <c:v>1.0874971034975158</c:v>
                </c:pt>
                <c:pt idx="30">
                  <c:v>1.0947427318844249</c:v>
                </c:pt>
                <c:pt idx="31">
                  <c:v>1.0888601683218317</c:v>
                </c:pt>
                <c:pt idx="32">
                  <c:v>1.0815745520638012</c:v>
                </c:pt>
                <c:pt idx="33">
                  <c:v>1.0821248199424949</c:v>
                </c:pt>
                <c:pt idx="34">
                  <c:v>1.0615554067582065</c:v>
                </c:pt>
                <c:pt idx="35">
                  <c:v>1.0667329667668963</c:v>
                </c:pt>
                <c:pt idx="36">
                  <c:v>1.0693973760057538</c:v>
                </c:pt>
                <c:pt idx="37">
                  <c:v>1.0632331587422177</c:v>
                </c:pt>
                <c:pt idx="38">
                  <c:v>1.0684680926529517</c:v>
                </c:pt>
                <c:pt idx="39">
                  <c:v>1.0511290040140444</c:v>
                </c:pt>
                <c:pt idx="40">
                  <c:v>1.0521938984080415</c:v>
                </c:pt>
                <c:pt idx="41">
                  <c:v>1.0526711449568613</c:v>
                </c:pt>
                <c:pt idx="42">
                  <c:v>1.0638477549353245</c:v>
                </c:pt>
                <c:pt idx="43">
                  <c:v>1.0594403960964969</c:v>
                </c:pt>
                <c:pt idx="44">
                  <c:v>1.0570367773214753</c:v>
                </c:pt>
                <c:pt idx="45">
                  <c:v>1.0457741064899462</c:v>
                </c:pt>
                <c:pt idx="46">
                  <c:v>1.0526789686707763</c:v>
                </c:pt>
                <c:pt idx="47">
                  <c:v>1.0590735508440341</c:v>
                </c:pt>
                <c:pt idx="48">
                  <c:v>1.0392882476543457</c:v>
                </c:pt>
                <c:pt idx="49">
                  <c:v>1.0448709021835274</c:v>
                </c:pt>
                <c:pt idx="50">
                  <c:v>1.0534917656163985</c:v>
                </c:pt>
                <c:pt idx="51">
                  <c:v>1.0395725092599268</c:v>
                </c:pt>
                <c:pt idx="52">
                  <c:v>1.0465729946108302</c:v>
                </c:pt>
                <c:pt idx="53">
                  <c:v>1.0466938275257409</c:v>
                </c:pt>
                <c:pt idx="54">
                  <c:v>1.0376217965904337</c:v>
                </c:pt>
                <c:pt idx="55">
                  <c:v>1.0436295395756683</c:v>
                </c:pt>
                <c:pt idx="56">
                  <c:v>1.0426168032744387</c:v>
                </c:pt>
                <c:pt idx="57">
                  <c:v>1.042089137235944</c:v>
                </c:pt>
                <c:pt idx="58">
                  <c:v>1.0325885406383997</c:v>
                </c:pt>
                <c:pt idx="59">
                  <c:v>1.034155891326054</c:v>
                </c:pt>
                <c:pt idx="60">
                  <c:v>1.036223090402727</c:v>
                </c:pt>
                <c:pt idx="61">
                  <c:v>1.0238112029272273</c:v>
                </c:pt>
                <c:pt idx="62">
                  <c:v>1.0313402236181717</c:v>
                </c:pt>
                <c:pt idx="63">
                  <c:v>1.046245267927943</c:v>
                </c:pt>
                <c:pt idx="64">
                  <c:v>1.0357832238203901</c:v>
                </c:pt>
                <c:pt idx="65">
                  <c:v>1.0308186426904995</c:v>
                </c:pt>
                <c:pt idx="66">
                  <c:v>1.0210503012167507</c:v>
                </c:pt>
                <c:pt idx="67">
                  <c:v>1.0237520904220911</c:v>
                </c:pt>
                <c:pt idx="68">
                  <c:v>1.0247265774552914</c:v>
                </c:pt>
                <c:pt idx="69">
                  <c:v>1.0299884597139553</c:v>
                </c:pt>
                <c:pt idx="70">
                  <c:v>1.0268746215757536</c:v>
                </c:pt>
                <c:pt idx="71">
                  <c:v>1.0145061991775601</c:v>
                </c:pt>
                <c:pt idx="72">
                  <c:v>1.0283489569979731</c:v>
                </c:pt>
                <c:pt idx="73">
                  <c:v>1.0178025906404466</c:v>
                </c:pt>
                <c:pt idx="74">
                  <c:v>1.022554192891538</c:v>
                </c:pt>
                <c:pt idx="75">
                  <c:v>1.0145157614945675</c:v>
                </c:pt>
                <c:pt idx="76">
                  <c:v>1.0067902786542</c:v>
                </c:pt>
                <c:pt idx="77">
                  <c:v>1.0258471071482402</c:v>
                </c:pt>
                <c:pt idx="78">
                  <c:v>1.0084688999397575</c:v>
                </c:pt>
                <c:pt idx="79">
                  <c:v>1.0243510391873678</c:v>
                </c:pt>
                <c:pt idx="80">
                  <c:v>1.0253046629834612</c:v>
                </c:pt>
                <c:pt idx="81">
                  <c:v>1.0164812522903444</c:v>
                </c:pt>
                <c:pt idx="82">
                  <c:v>1.0054002654819543</c:v>
                </c:pt>
                <c:pt idx="83">
                  <c:v>1.0044657663198755</c:v>
                </c:pt>
                <c:pt idx="84">
                  <c:v>0.99302575797293791</c:v>
                </c:pt>
                <c:pt idx="85">
                  <c:v>1.0008929369653228</c:v>
                </c:pt>
                <c:pt idx="86">
                  <c:v>0.99928994491427758</c:v>
                </c:pt>
                <c:pt idx="87">
                  <c:v>1.0039659179308567</c:v>
                </c:pt>
                <c:pt idx="88">
                  <c:v>0.9816413849249519</c:v>
                </c:pt>
                <c:pt idx="89">
                  <c:v>1.002242962266447</c:v>
                </c:pt>
                <c:pt idx="90">
                  <c:v>0.98657032469145167</c:v>
                </c:pt>
                <c:pt idx="91">
                  <c:v>0.97998188827340893</c:v>
                </c:pt>
                <c:pt idx="92">
                  <c:v>0.97973935314204152</c:v>
                </c:pt>
                <c:pt idx="93">
                  <c:v>0.97797293240032601</c:v>
                </c:pt>
                <c:pt idx="94">
                  <c:v>0.97872922474545043</c:v>
                </c:pt>
                <c:pt idx="95">
                  <c:v>0.97892047108559666</c:v>
                </c:pt>
                <c:pt idx="96">
                  <c:v>0.97511640751977602</c:v>
                </c:pt>
                <c:pt idx="97">
                  <c:v>0.9809007400076577</c:v>
                </c:pt>
                <c:pt idx="98">
                  <c:v>0.97653945415077437</c:v>
                </c:pt>
                <c:pt idx="99">
                  <c:v>0.97819808150077103</c:v>
                </c:pt>
                <c:pt idx="100">
                  <c:v>0.97401065595311165</c:v>
                </c:pt>
                <c:pt idx="101">
                  <c:v>0.97351080756409258</c:v>
                </c:pt>
                <c:pt idx="102">
                  <c:v>0.96277841067569658</c:v>
                </c:pt>
                <c:pt idx="103">
                  <c:v>0.95264757045721549</c:v>
                </c:pt>
                <c:pt idx="104">
                  <c:v>0.96638948929827861</c:v>
                </c:pt>
                <c:pt idx="105">
                  <c:v>0.96370769402849865</c:v>
                </c:pt>
                <c:pt idx="106">
                  <c:v>0.96035045145738385</c:v>
                </c:pt>
                <c:pt idx="107">
                  <c:v>0.94950330676489991</c:v>
                </c:pt>
                <c:pt idx="108">
                  <c:v>0.95159136907867992</c:v>
                </c:pt>
                <c:pt idx="109">
                  <c:v>0.94703188246928105</c:v>
                </c:pt>
                <c:pt idx="110">
                  <c:v>0.95013268108429072</c:v>
                </c:pt>
                <c:pt idx="111">
                  <c:v>0.94883307527284155</c:v>
                </c:pt>
                <c:pt idx="112">
                  <c:v>0.94774644834019173</c:v>
                </c:pt>
                <c:pt idx="113">
                  <c:v>0.94053298411048891</c:v>
                </c:pt>
                <c:pt idx="114">
                  <c:v>0.95385416100323006</c:v>
                </c:pt>
                <c:pt idx="115">
                  <c:v>0.93881611355690209</c:v>
                </c:pt>
                <c:pt idx="116">
                  <c:v>0.94552277498521708</c:v>
                </c:pt>
                <c:pt idx="117">
                  <c:v>0.92973625890767997</c:v>
                </c:pt>
                <c:pt idx="118">
                  <c:v>0.94019308720595596</c:v>
                </c:pt>
                <c:pt idx="119">
                  <c:v>0.95267191090050685</c:v>
                </c:pt>
                <c:pt idx="120">
                  <c:v>0.94656506753901481</c:v>
                </c:pt>
                <c:pt idx="121">
                  <c:v>0.94249760560471985</c:v>
                </c:pt>
                <c:pt idx="122">
                  <c:v>0.95121322290611787</c:v>
                </c:pt>
                <c:pt idx="123">
                  <c:v>0.94340341781577675</c:v>
                </c:pt>
                <c:pt idx="124">
                  <c:v>0.94612607025822426</c:v>
                </c:pt>
                <c:pt idx="125">
                  <c:v>0.94162134964623101</c:v>
                </c:pt>
                <c:pt idx="126">
                  <c:v>0.93253975639391673</c:v>
                </c:pt>
                <c:pt idx="127">
                  <c:v>0.94075987181402621</c:v>
                </c:pt>
                <c:pt idx="128">
                  <c:v>0.93769558386395357</c:v>
                </c:pt>
                <c:pt idx="129">
                  <c:v>0.93281880219022106</c:v>
                </c:pt>
                <c:pt idx="130">
                  <c:v>0.94143966562309189</c:v>
                </c:pt>
                <c:pt idx="131">
                  <c:v>0.93625080469430244</c:v>
                </c:pt>
                <c:pt idx="132">
                  <c:v>0.92112321918872431</c:v>
                </c:pt>
                <c:pt idx="133">
                  <c:v>0.92787508429743748</c:v>
                </c:pt>
                <c:pt idx="134">
                  <c:v>0.93113670369847923</c:v>
                </c:pt>
                <c:pt idx="135">
                  <c:v>0.9308846062501045</c:v>
                </c:pt>
                <c:pt idx="136">
                  <c:v>0.93279272314383754</c:v>
                </c:pt>
                <c:pt idx="137">
                  <c:v>0.92418489923415847</c:v>
                </c:pt>
                <c:pt idx="138">
                  <c:v>0.92434919722637521</c:v>
                </c:pt>
                <c:pt idx="139">
                  <c:v>0.92080766272748271</c:v>
                </c:pt>
                <c:pt idx="140">
                  <c:v>0.94318087661997008</c:v>
                </c:pt>
                <c:pt idx="141">
                  <c:v>1.001198061808011</c:v>
                </c:pt>
                <c:pt idx="142">
                  <c:v>1.4145361688617297</c:v>
                </c:pt>
                <c:pt idx="143">
                  <c:v>2.5218394387860408</c:v>
                </c:pt>
                <c:pt idx="144">
                  <c:v>3.4553858463703642</c:v>
                </c:pt>
                <c:pt idx="145">
                  <c:v>4.257440832787049</c:v>
                </c:pt>
                <c:pt idx="146">
                  <c:v>4.9021522393560346</c:v>
                </c:pt>
                <c:pt idx="147">
                  <c:v>5.4377810800132602</c:v>
                </c:pt>
                <c:pt idx="148">
                  <c:v>6.0391273789540554</c:v>
                </c:pt>
                <c:pt idx="149">
                  <c:v>6.5470915672075618</c:v>
                </c:pt>
                <c:pt idx="150">
                  <c:v>7.0005827126765574</c:v>
                </c:pt>
                <c:pt idx="151">
                  <c:v>7.3529262767467758</c:v>
                </c:pt>
                <c:pt idx="152">
                  <c:v>7.483715302265149</c:v>
                </c:pt>
                <c:pt idx="153">
                  <c:v>7.5126413112122883</c:v>
                </c:pt>
                <c:pt idx="154">
                  <c:v>7.4980439996498438</c:v>
                </c:pt>
                <c:pt idx="155">
                  <c:v>7.4180439169635228</c:v>
                </c:pt>
                <c:pt idx="156">
                  <c:v>7.2877243142800525</c:v>
                </c:pt>
                <c:pt idx="157">
                  <c:v>7.0484925287878628</c:v>
                </c:pt>
                <c:pt idx="158">
                  <c:v>6.8229122547759387</c:v>
                </c:pt>
                <c:pt idx="159">
                  <c:v>6.6247097636575134</c:v>
                </c:pt>
                <c:pt idx="160">
                  <c:v>6.211777620425833</c:v>
                </c:pt>
                <c:pt idx="161">
                  <c:v>5.8989759757839701</c:v>
                </c:pt>
                <c:pt idx="162">
                  <c:v>5.7489614772716084</c:v>
                </c:pt>
                <c:pt idx="163">
                  <c:v>5.6255206577225856</c:v>
                </c:pt>
                <c:pt idx="164">
                  <c:v>5.4679953938517478</c:v>
                </c:pt>
                <c:pt idx="165">
                  <c:v>5.3003210344299614</c:v>
                </c:pt>
                <c:pt idx="166">
                  <c:v>5.1580772224383651</c:v>
                </c:pt>
                <c:pt idx="167">
                  <c:v>5.0252974963793768</c:v>
                </c:pt>
                <c:pt idx="168">
                  <c:v>4.930413232620392</c:v>
                </c:pt>
                <c:pt idx="169">
                  <c:v>4.769165619529069</c:v>
                </c:pt>
                <c:pt idx="170">
                  <c:v>4.5989250819431371</c:v>
                </c:pt>
                <c:pt idx="171">
                  <c:v>4.3897328806786646</c:v>
                </c:pt>
                <c:pt idx="172">
                  <c:v>4.1698082825257963</c:v>
                </c:pt>
                <c:pt idx="173">
                  <c:v>4.0463083504716364</c:v>
                </c:pt>
                <c:pt idx="174">
                  <c:v>3.92511989122861</c:v>
                </c:pt>
                <c:pt idx="175">
                  <c:v>3.8121315534701328</c:v>
                </c:pt>
                <c:pt idx="176">
                  <c:v>3.6373323985763473</c:v>
                </c:pt>
                <c:pt idx="177">
                  <c:v>3.4964003626178464</c:v>
                </c:pt>
                <c:pt idx="178">
                  <c:v>3.4072908690297354</c:v>
                </c:pt>
                <c:pt idx="179">
                  <c:v>3.368382670428502</c:v>
                </c:pt>
                <c:pt idx="180">
                  <c:v>3.3433146217430432</c:v>
                </c:pt>
                <c:pt idx="181">
                  <c:v>3.3236492821667194</c:v>
                </c:pt>
                <c:pt idx="182">
                  <c:v>3.369570136340502</c:v>
                </c:pt>
                <c:pt idx="183">
                  <c:v>3.3640205152700728</c:v>
                </c:pt>
                <c:pt idx="184">
                  <c:v>3.3731794763599918</c:v>
                </c:pt>
                <c:pt idx="185">
                  <c:v>3.3792193835024324</c:v>
                </c:pt>
                <c:pt idx="186">
                  <c:v>3.3266874910704085</c:v>
                </c:pt>
                <c:pt idx="187">
                  <c:v>3.2544615721110381</c:v>
                </c:pt>
                <c:pt idx="188">
                  <c:v>3.1615567079725682</c:v>
                </c:pt>
                <c:pt idx="189">
                  <c:v>3.1019713027953273</c:v>
                </c:pt>
                <c:pt idx="190">
                  <c:v>3.114982139036103</c:v>
                </c:pt>
                <c:pt idx="191">
                  <c:v>3.141751410847319</c:v>
                </c:pt>
                <c:pt idx="192">
                  <c:v>3.1453546657559861</c:v>
                </c:pt>
                <c:pt idx="193">
                  <c:v>3.1667107968395132</c:v>
                </c:pt>
                <c:pt idx="194">
                  <c:v>3.2478166310924976</c:v>
                </c:pt>
                <c:pt idx="195">
                  <c:v>3.3198469572039908</c:v>
                </c:pt>
                <c:pt idx="196">
                  <c:v>3.4151093671355381</c:v>
                </c:pt>
                <c:pt idx="197">
                  <c:v>3.5251212164001009</c:v>
                </c:pt>
                <c:pt idx="198">
                  <c:v>3.6293913289525421</c:v>
                </c:pt>
                <c:pt idx="199">
                  <c:v>3.8124540643437435</c:v>
                </c:pt>
                <c:pt idx="200">
                  <c:v>3.8451884833644332</c:v>
                </c:pt>
                <c:pt idx="201">
                  <c:v>3.8052475545264093</c:v>
                </c:pt>
                <c:pt idx="202">
                  <c:v>3.8075546808298113</c:v>
                </c:pt>
                <c:pt idx="203">
                  <c:v>3.8288560459159333</c:v>
                </c:pt>
                <c:pt idx="204">
                  <c:v>3.8516552175660195</c:v>
                </c:pt>
                <c:pt idx="205">
                  <c:v>3.8279154616430313</c:v>
                </c:pt>
                <c:pt idx="206">
                  <c:v>3.8630308975985437</c:v>
                </c:pt>
                <c:pt idx="207">
                  <c:v>3.9000744443833502</c:v>
                </c:pt>
                <c:pt idx="208">
                  <c:v>4.1590254661477246</c:v>
                </c:pt>
                <c:pt idx="209">
                  <c:v>4.8897768625454718</c:v>
                </c:pt>
                <c:pt idx="210">
                  <c:v>4.954131256004727</c:v>
                </c:pt>
                <c:pt idx="211">
                  <c:v>4.9501359460987597</c:v>
                </c:pt>
                <c:pt idx="212">
                  <c:v>4.965221805130124</c:v>
                </c:pt>
                <c:pt idx="213">
                  <c:v>4.9404788752229143</c:v>
                </c:pt>
                <c:pt idx="214">
                  <c:v>4.9208578700254426</c:v>
                </c:pt>
                <c:pt idx="215">
                  <c:v>4.8483311727311147</c:v>
                </c:pt>
                <c:pt idx="216">
                  <c:v>4.7935425734853627</c:v>
                </c:pt>
                <c:pt idx="217">
                  <c:v>4.7306607768452356</c:v>
                </c:pt>
                <c:pt idx="218">
                  <c:v>4.7002126208908406</c:v>
                </c:pt>
                <c:pt idx="219">
                  <c:v>4.6581931920560438</c:v>
                </c:pt>
                <c:pt idx="220">
                  <c:v>4.5979584186238514</c:v>
                </c:pt>
                <c:pt idx="221">
                  <c:v>4.6023084035606354</c:v>
                </c:pt>
                <c:pt idx="222">
                  <c:v>4.5695957170785979</c:v>
                </c:pt>
                <c:pt idx="223">
                  <c:v>4.5066200358714896</c:v>
                </c:pt>
                <c:pt idx="224">
                  <c:v>4.4334952591134309</c:v>
                </c:pt>
                <c:pt idx="225">
                  <c:v>4.3681750716364371</c:v>
                </c:pt>
                <c:pt idx="226">
                  <c:v>4.2824210820163495</c:v>
                </c:pt>
                <c:pt idx="227">
                  <c:v>4.2235372031868268</c:v>
                </c:pt>
                <c:pt idx="228">
                  <c:v>4.1086642196763616</c:v>
                </c:pt>
                <c:pt idx="229">
                  <c:v>4.0464430922112848</c:v>
                </c:pt>
                <c:pt idx="230">
                  <c:v>4.0546736392499483</c:v>
                </c:pt>
                <c:pt idx="231">
                  <c:v>3.991250267746588</c:v>
                </c:pt>
                <c:pt idx="232">
                  <c:v>4.011984848224639</c:v>
                </c:pt>
                <c:pt idx="233">
                  <c:v>4.062482575038743</c:v>
                </c:pt>
                <c:pt idx="234">
                  <c:v>4.1002285174728144</c:v>
                </c:pt>
                <c:pt idx="235">
                  <c:v>4.1345007309285906</c:v>
                </c:pt>
                <c:pt idx="236">
                  <c:v>4.1449714680516045</c:v>
                </c:pt>
                <c:pt idx="237">
                  <c:v>4.1323222612540143</c:v>
                </c:pt>
                <c:pt idx="238">
                  <c:v>4.1299829707934057</c:v>
                </c:pt>
                <c:pt idx="239">
                  <c:v>4.129548320020346</c:v>
                </c:pt>
                <c:pt idx="240">
                  <c:v>4.1056338344865875</c:v>
                </c:pt>
                <c:pt idx="241">
                  <c:v>4.1095265668101124</c:v>
                </c:pt>
                <c:pt idx="242">
                  <c:v>4.1306801506333937</c:v>
                </c:pt>
                <c:pt idx="243">
                  <c:v>4.100053787862044</c:v>
                </c:pt>
                <c:pt idx="244">
                  <c:v>4.0997295383853416</c:v>
                </c:pt>
                <c:pt idx="245">
                  <c:v>4.0841281835371275</c:v>
                </c:pt>
                <c:pt idx="246">
                  <c:v>4.0023251694441546</c:v>
                </c:pt>
                <c:pt idx="247">
                  <c:v>3.9525402698978698</c:v>
                </c:pt>
                <c:pt idx="248">
                  <c:v>3.9313910325823187</c:v>
                </c:pt>
                <c:pt idx="249">
                  <c:v>3.9720291412603315</c:v>
                </c:pt>
                <c:pt idx="250">
                  <c:v>3.9562843516570081</c:v>
                </c:pt>
                <c:pt idx="251">
                  <c:v>3.915475859875956</c:v>
                </c:pt>
                <c:pt idx="252">
                  <c:v>3.8948108235215941</c:v>
                </c:pt>
                <c:pt idx="253">
                  <c:v>3.8714944174515673</c:v>
                </c:pt>
                <c:pt idx="254">
                  <c:v>3.8704486476915849</c:v>
                </c:pt>
                <c:pt idx="255">
                  <c:v>3.8536294013772574</c:v>
                </c:pt>
                <c:pt idx="256">
                  <c:v>3.8372578453591819</c:v>
                </c:pt>
                <c:pt idx="257">
                  <c:v>3.8164006933631276</c:v>
                </c:pt>
                <c:pt idx="258">
                  <c:v>3.8169744323835664</c:v>
                </c:pt>
                <c:pt idx="259">
                  <c:v>3.7893219502014936</c:v>
                </c:pt>
                <c:pt idx="260">
                  <c:v>3.7549810619235733</c:v>
                </c:pt>
                <c:pt idx="261">
                  <c:v>3.6983660601294241</c:v>
                </c:pt>
                <c:pt idx="262">
                  <c:v>3.6730441753924983</c:v>
                </c:pt>
                <c:pt idx="263">
                  <c:v>3.5834400492246457</c:v>
                </c:pt>
                <c:pt idx="264">
                  <c:v>3.5160856961297311</c:v>
                </c:pt>
                <c:pt idx="265">
                  <c:v>3.4036710973916926</c:v>
                </c:pt>
                <c:pt idx="266">
                  <c:v>3.3734533063470193</c:v>
                </c:pt>
                <c:pt idx="267">
                  <c:v>3.3913296233414285</c:v>
                </c:pt>
                <c:pt idx="268">
                  <c:v>3.4117373464381391</c:v>
                </c:pt>
                <c:pt idx="269">
                  <c:v>3.4804956215300371</c:v>
                </c:pt>
                <c:pt idx="270">
                  <c:v>3.5560648742357843</c:v>
                </c:pt>
                <c:pt idx="271">
                  <c:v>3.5430809863429378</c:v>
                </c:pt>
                <c:pt idx="272">
                  <c:v>3.5286358025510633</c:v>
                </c:pt>
                <c:pt idx="273">
                  <c:v>3.5031322337909985</c:v>
                </c:pt>
                <c:pt idx="274">
                  <c:v>3.5224185578932143</c:v>
                </c:pt>
                <c:pt idx="275">
                  <c:v>3.5744740730779649</c:v>
                </c:pt>
                <c:pt idx="276">
                  <c:v>3.5615197414376865</c:v>
                </c:pt>
                <c:pt idx="277">
                  <c:v>3.5345035879873725</c:v>
                </c:pt>
                <c:pt idx="278">
                  <c:v>3.5410598602482093</c:v>
                </c:pt>
                <c:pt idx="279">
                  <c:v>3.5132196089321734</c:v>
                </c:pt>
                <c:pt idx="280">
                  <c:v>3.4752780736502258</c:v>
                </c:pt>
                <c:pt idx="281">
                  <c:v>3.3946460087398762</c:v>
                </c:pt>
                <c:pt idx="282">
                  <c:v>3.3135671228348209</c:v>
                </c:pt>
                <c:pt idx="283">
                  <c:v>3.2405892580380571</c:v>
                </c:pt>
                <c:pt idx="284">
                  <c:v>3.1845810287230991</c:v>
                </c:pt>
                <c:pt idx="285">
                  <c:v>3.1467516333406005</c:v>
                </c:pt>
                <c:pt idx="286">
                  <c:v>3.1630692926628163</c:v>
                </c:pt>
                <c:pt idx="287">
                  <c:v>3.1752342984992183</c:v>
                </c:pt>
                <c:pt idx="288">
                  <c:v>3.1302748918354442</c:v>
                </c:pt>
                <c:pt idx="289">
                  <c:v>3.0680276853239841</c:v>
                </c:pt>
                <c:pt idx="290">
                  <c:v>3.0287430791532803</c:v>
                </c:pt>
                <c:pt idx="291">
                  <c:v>2.9258238612035097</c:v>
                </c:pt>
                <c:pt idx="292">
                  <c:v>2.7932944939898032</c:v>
                </c:pt>
                <c:pt idx="293">
                  <c:v>2.7161735380242322</c:v>
                </c:pt>
                <c:pt idx="294">
                  <c:v>2.7040372191388524</c:v>
                </c:pt>
                <c:pt idx="295">
                  <c:v>2.7177939161061997</c:v>
                </c:pt>
                <c:pt idx="296">
                  <c:v>2.9060159561736221</c:v>
                </c:pt>
                <c:pt idx="297">
                  <c:v>3.3924292897972701</c:v>
                </c:pt>
                <c:pt idx="298">
                  <c:v>3.5872641067260265</c:v>
                </c:pt>
                <c:pt idx="299">
                  <c:v>3.6877179854910018</c:v>
                </c:pt>
                <c:pt idx="300">
                  <c:v>3.7626335234340673</c:v>
                </c:pt>
                <c:pt idx="301">
                  <c:v>3.7454813346275753</c:v>
                </c:pt>
                <c:pt idx="302">
                  <c:v>3.693792664695287</c:v>
                </c:pt>
                <c:pt idx="303">
                  <c:v>3.6792988000168303</c:v>
                </c:pt>
                <c:pt idx="304">
                  <c:v>3.6643068255524471</c:v>
                </c:pt>
                <c:pt idx="305">
                  <c:v>3.61401599250632</c:v>
                </c:pt>
                <c:pt idx="306">
                  <c:v>3.5992170029851747</c:v>
                </c:pt>
                <c:pt idx="307">
                  <c:v>3.6083333682993342</c:v>
                </c:pt>
                <c:pt idx="308">
                  <c:v>3.585519418522964</c:v>
                </c:pt>
                <c:pt idx="309">
                  <c:v>3.5220404117206519</c:v>
                </c:pt>
                <c:pt idx="310">
                  <c:v>3.4594576548123896</c:v>
                </c:pt>
                <c:pt idx="311">
                  <c:v>3.419104677041505</c:v>
                </c:pt>
                <c:pt idx="312">
                  <c:v>3.3779806287992118</c:v>
                </c:pt>
                <c:pt idx="313">
                  <c:v>3.3492823768571562</c:v>
                </c:pt>
                <c:pt idx="314">
                  <c:v>3.3553987825356555</c:v>
                </c:pt>
                <c:pt idx="315">
                  <c:v>3.3307610381155257</c:v>
                </c:pt>
                <c:pt idx="316">
                  <c:v>3.3419984992022176</c:v>
                </c:pt>
                <c:pt idx="317">
                  <c:v>3.3514286823745261</c:v>
                </c:pt>
                <c:pt idx="318">
                  <c:v>3.3824931731251202</c:v>
                </c:pt>
                <c:pt idx="319">
                  <c:v>3.3879802044842289</c:v>
                </c:pt>
                <c:pt idx="320">
                  <c:v>3.4049141986026439</c:v>
                </c:pt>
                <c:pt idx="321">
                  <c:v>3.3891555001745828</c:v>
                </c:pt>
                <c:pt idx="322">
                  <c:v>3.3529751698250734</c:v>
                </c:pt>
                <c:pt idx="323">
                  <c:v>3.2845950409057374</c:v>
                </c:pt>
                <c:pt idx="324">
                  <c:v>3.2046957971987671</c:v>
                </c:pt>
                <c:pt idx="325">
                  <c:v>3.1585593562415468</c:v>
                </c:pt>
                <c:pt idx="326">
                  <c:v>3.1376578698666404</c:v>
                </c:pt>
                <c:pt idx="327">
                  <c:v>3.1353029319782015</c:v>
                </c:pt>
                <c:pt idx="328">
                  <c:v>3.0958409882920899</c:v>
                </c:pt>
                <c:pt idx="329">
                  <c:v>3.0721699071912454</c:v>
                </c:pt>
                <c:pt idx="330">
                  <c:v>3.0260186881077407</c:v>
                </c:pt>
                <c:pt idx="331">
                  <c:v>2.9799917791453319</c:v>
                </c:pt>
                <c:pt idx="332">
                  <c:v>2.9643756461708342</c:v>
                </c:pt>
                <c:pt idx="333">
                  <c:v>2.9902930024668524</c:v>
                </c:pt>
                <c:pt idx="334">
                  <c:v>2.976999643223587</c:v>
                </c:pt>
                <c:pt idx="335">
                  <c:v>2.9870235593518957</c:v>
                </c:pt>
                <c:pt idx="336">
                  <c:v>3.0415557146415413</c:v>
                </c:pt>
                <c:pt idx="337">
                  <c:v>3.0958314259750823</c:v>
                </c:pt>
                <c:pt idx="338">
                  <c:v>3.1326437385486208</c:v>
                </c:pt>
                <c:pt idx="339">
                  <c:v>3.1700384831580597</c:v>
                </c:pt>
                <c:pt idx="340">
                  <c:v>3.2284598935650464</c:v>
                </c:pt>
                <c:pt idx="341">
                  <c:v>3.2652461270922011</c:v>
                </c:pt>
                <c:pt idx="342">
                  <c:v>3.300311143558039</c:v>
                </c:pt>
                <c:pt idx="343">
                  <c:v>3.302399205871819</c:v>
                </c:pt>
                <c:pt idx="344">
                  <c:v>3.2990054526357668</c:v>
                </c:pt>
                <c:pt idx="345">
                  <c:v>3.2967713476622387</c:v>
                </c:pt>
                <c:pt idx="346">
                  <c:v>3.2747867115608669</c:v>
                </c:pt>
                <c:pt idx="347">
                  <c:v>3.2604823546194641</c:v>
                </c:pt>
                <c:pt idx="348">
                  <c:v>3.2443933216038778</c:v>
                </c:pt>
                <c:pt idx="349">
                  <c:v>3.1965139310466872</c:v>
                </c:pt>
                <c:pt idx="350">
                  <c:v>3.2235544249402919</c:v>
                </c:pt>
                <c:pt idx="351">
                  <c:v>3.2604484518591654</c:v>
                </c:pt>
                <c:pt idx="352">
                  <c:v>3.2246280123497502</c:v>
                </c:pt>
                <c:pt idx="353">
                  <c:v>3.1495603466361137</c:v>
                </c:pt>
                <c:pt idx="354">
                  <c:v>3.0417608698064256</c:v>
                </c:pt>
                <c:pt idx="355">
                  <c:v>2.9892646187377925</c:v>
                </c:pt>
                <c:pt idx="356">
                  <c:v>2.9638305941014167</c:v>
                </c:pt>
                <c:pt idx="357">
                  <c:v>2.9435567434428092</c:v>
                </c:pt>
                <c:pt idx="358">
                  <c:v>2.9459386296791776</c:v>
                </c:pt>
                <c:pt idx="359">
                  <c:v>2.9360233762441341</c:v>
                </c:pt>
                <c:pt idx="360">
                  <c:v>2.9170247909536844</c:v>
                </c:pt>
                <c:pt idx="361">
                  <c:v>2.9182931019094731</c:v>
                </c:pt>
                <c:pt idx="362">
                  <c:v>2.9262932840384144</c:v>
                </c:pt>
                <c:pt idx="363">
                  <c:v>2.9278667198368917</c:v>
                </c:pt>
                <c:pt idx="364">
                  <c:v>2.911436920615226</c:v>
                </c:pt>
                <c:pt idx="365">
                  <c:v>2.9381583808414047</c:v>
                </c:pt>
                <c:pt idx="366">
                  <c:v>2.9769579167493734</c:v>
                </c:pt>
                <c:pt idx="367">
                  <c:v>2.9730460597918338</c:v>
                </c:pt>
                <c:pt idx="368">
                  <c:v>2.9539770610761478</c:v>
                </c:pt>
                <c:pt idx="369">
                  <c:v>2.9267635761748654</c:v>
                </c:pt>
                <c:pt idx="370">
                  <c:v>2.8851283786234538</c:v>
                </c:pt>
                <c:pt idx="371">
                  <c:v>2.8432819407963348</c:v>
                </c:pt>
                <c:pt idx="372">
                  <c:v>2.7991501092044668</c:v>
                </c:pt>
                <c:pt idx="373">
                  <c:v>2.7660001640447311</c:v>
                </c:pt>
                <c:pt idx="374">
                  <c:v>2.7323155984341323</c:v>
                </c:pt>
                <c:pt idx="375">
                  <c:v>2.7625290429710745</c:v>
                </c:pt>
                <c:pt idx="376">
                  <c:v>2.7705857297005139</c:v>
                </c:pt>
                <c:pt idx="377">
                  <c:v>2.7519731142965407</c:v>
                </c:pt>
                <c:pt idx="378">
                  <c:v>2.7081611856736454</c:v>
                </c:pt>
                <c:pt idx="379">
                  <c:v>2.681707470323671</c:v>
                </c:pt>
                <c:pt idx="380">
                  <c:v>2.6224141504659264</c:v>
                </c:pt>
                <c:pt idx="381">
                  <c:v>2.5485565525044889</c:v>
                </c:pt>
                <c:pt idx="382">
                  <c:v>2.5169765659370462</c:v>
                </c:pt>
                <c:pt idx="383">
                  <c:v>2.5289703193688622</c:v>
                </c:pt>
                <c:pt idx="384">
                  <c:v>2.5310323026362584</c:v>
                </c:pt>
                <c:pt idx="385">
                  <c:v>2.5413422189732402</c:v>
                </c:pt>
                <c:pt idx="386">
                  <c:v>2.6563369047001624</c:v>
                </c:pt>
                <c:pt idx="387">
                  <c:v>2.872708667434039</c:v>
                </c:pt>
                <c:pt idx="388">
                  <c:v>2.9811766371526929</c:v>
                </c:pt>
                <c:pt idx="389">
                  <c:v>3.0068166862554988</c:v>
                </c:pt>
                <c:pt idx="390">
                  <c:v>2.95308950419756</c:v>
                </c:pt>
                <c:pt idx="391">
                  <c:v>2.9076893616499029</c:v>
                </c:pt>
                <c:pt idx="392">
                  <c:v>2.864325992624805</c:v>
                </c:pt>
                <c:pt idx="393">
                  <c:v>2.7590335814541267</c:v>
                </c:pt>
                <c:pt idx="394">
                  <c:v>2.6266128769336854</c:v>
                </c:pt>
                <c:pt idx="395">
                  <c:v>2.6800166788164681</c:v>
                </c:pt>
                <c:pt idx="396">
                  <c:v>3.0145021812247448</c:v>
                </c:pt>
                <c:pt idx="397">
                  <c:v>3.1242028205357966</c:v>
                </c:pt>
                <c:pt idx="398">
                  <c:v>3.1221277977452089</c:v>
                </c:pt>
                <c:pt idx="399">
                  <c:v>3.1263717278933663</c:v>
                </c:pt>
                <c:pt idx="400">
                  <c:v>3.1174344386977078</c:v>
                </c:pt>
                <c:pt idx="401">
                  <c:v>3.0642079743303334</c:v>
                </c:pt>
                <c:pt idx="402">
                  <c:v>3.094720458599141</c:v>
                </c:pt>
                <c:pt idx="403">
                  <c:v>3.214359822486982</c:v>
                </c:pt>
                <c:pt idx="404">
                  <c:v>3.3624514259793266</c:v>
                </c:pt>
                <c:pt idx="405">
                  <c:v>3.420070471059244</c:v>
                </c:pt>
                <c:pt idx="406">
                  <c:v>3.4128022408321357</c:v>
                </c:pt>
                <c:pt idx="407">
                  <c:v>3.3880123686414354</c:v>
                </c:pt>
                <c:pt idx="408">
                  <c:v>3.3840057578153684</c:v>
                </c:pt>
                <c:pt idx="409">
                  <c:v>3.3406649906304695</c:v>
                </c:pt>
                <c:pt idx="410">
                  <c:v>3.3191584703794641</c:v>
                </c:pt>
                <c:pt idx="411">
                  <c:v>3.2941364946759495</c:v>
                </c:pt>
                <c:pt idx="412">
                  <c:v>3.2084511798780051</c:v>
                </c:pt>
                <c:pt idx="413">
                  <c:v>3.1221851716472524</c:v>
                </c:pt>
                <c:pt idx="414">
                  <c:v>3.1026510966043928</c:v>
                </c:pt>
                <c:pt idx="415">
                  <c:v>3.0871914379081971</c:v>
                </c:pt>
                <c:pt idx="416">
                  <c:v>3.0231717255441986</c:v>
                </c:pt>
                <c:pt idx="417">
                  <c:v>2.927218220883486</c:v>
                </c:pt>
                <c:pt idx="418">
                  <c:v>2.8313612086943927</c:v>
                </c:pt>
                <c:pt idx="419">
                  <c:v>2.7622656446026004</c:v>
                </c:pt>
                <c:pt idx="420">
                  <c:v>2.7862931393373538</c:v>
                </c:pt>
                <c:pt idx="421">
                  <c:v>2.9095783539096214</c:v>
                </c:pt>
                <c:pt idx="422">
                  <c:v>3.0219746973151911</c:v>
                </c:pt>
                <c:pt idx="423">
                  <c:v>3.0990174161416117</c:v>
                </c:pt>
                <c:pt idx="424">
                  <c:v>3.100205751355158</c:v>
                </c:pt>
                <c:pt idx="425">
                  <c:v>3.087490477640062</c:v>
                </c:pt>
                <c:pt idx="426">
                  <c:v>3.0797406543564034</c:v>
                </c:pt>
                <c:pt idx="427">
                  <c:v>3.0213009886169484</c:v>
                </c:pt>
                <c:pt idx="428">
                  <c:v>2.9757165541415143</c:v>
                </c:pt>
                <c:pt idx="429">
                  <c:v>2.9434350412263521</c:v>
                </c:pt>
                <c:pt idx="430">
                  <c:v>2.9497018360723306</c:v>
                </c:pt>
                <c:pt idx="431">
                  <c:v>2.9691654976899549</c:v>
                </c:pt>
                <c:pt idx="432">
                  <c:v>2.9490794161653087</c:v>
                </c:pt>
                <c:pt idx="433">
                  <c:v>2.9119498085274365</c:v>
                </c:pt>
                <c:pt idx="434">
                  <c:v>2.8610530723036636</c:v>
                </c:pt>
                <c:pt idx="435">
                  <c:v>2.8624709031253852</c:v>
                </c:pt>
                <c:pt idx="436">
                  <c:v>2.8909196655237039</c:v>
                </c:pt>
                <c:pt idx="437">
                  <c:v>2.8909952947582167</c:v>
                </c:pt>
                <c:pt idx="438">
                  <c:v>2.8755373746651132</c:v>
                </c:pt>
                <c:pt idx="439">
                  <c:v>2.8676841044974659</c:v>
                </c:pt>
                <c:pt idx="440">
                  <c:v>2.8107439839250676</c:v>
                </c:pt>
                <c:pt idx="441">
                  <c:v>2.7537743071001013</c:v>
                </c:pt>
                <c:pt idx="442">
                  <c:v>2.7167159821890108</c:v>
                </c:pt>
                <c:pt idx="443">
                  <c:v>2.6742027900760181</c:v>
                </c:pt>
                <c:pt idx="444">
                  <c:v>2.5804781745795573</c:v>
                </c:pt>
                <c:pt idx="445">
                  <c:v>2.4714555904744788</c:v>
                </c:pt>
                <c:pt idx="446">
                  <c:v>2.3629119915213117</c:v>
                </c:pt>
                <c:pt idx="447">
                  <c:v>2.2388287581297068</c:v>
                </c:pt>
                <c:pt idx="448">
                  <c:v>2.1368683797853056</c:v>
                </c:pt>
                <c:pt idx="449">
                  <c:v>2.0629951343960387</c:v>
                </c:pt>
                <c:pt idx="450">
                  <c:v>2.0154339082047277</c:v>
                </c:pt>
                <c:pt idx="451">
                  <c:v>1.9708430853965084</c:v>
                </c:pt>
                <c:pt idx="452">
                  <c:v>1.9242415681121139</c:v>
                </c:pt>
                <c:pt idx="453">
                  <c:v>1.8656636834268259</c:v>
                </c:pt>
                <c:pt idx="454">
                  <c:v>1.7690555947018851</c:v>
                </c:pt>
                <c:pt idx="455">
                  <c:v>1.6641274208790311</c:v>
                </c:pt>
                <c:pt idx="456">
                  <c:v>1.739822722308966</c:v>
                </c:pt>
                <c:pt idx="457">
                  <c:v>2.0960894442568221</c:v>
                </c:pt>
                <c:pt idx="458">
                  <c:v>2.539128107935273</c:v>
                </c:pt>
                <c:pt idx="459">
                  <c:v>2.8859203123319688</c:v>
                </c:pt>
                <c:pt idx="460">
                  <c:v>3.1098593450248186</c:v>
                </c:pt>
                <c:pt idx="461">
                  <c:v>3.2307496338375259</c:v>
                </c:pt>
                <c:pt idx="462">
                  <c:v>3.2988915741332252</c:v>
                </c:pt>
                <c:pt idx="463">
                  <c:v>3.302770397632012</c:v>
                </c:pt>
                <c:pt idx="464">
                  <c:v>3.2834327847385754</c:v>
                </c:pt>
                <c:pt idx="465">
                  <c:v>3.2554238889225928</c:v>
                </c:pt>
                <c:pt idx="466">
                  <c:v>3.2249270520816151</c:v>
                </c:pt>
                <c:pt idx="467">
                  <c:v>3.1860553641453184</c:v>
                </c:pt>
                <c:pt idx="468">
                  <c:v>3.1248382799660104</c:v>
                </c:pt>
                <c:pt idx="469">
                  <c:v>3.0524958745994604</c:v>
                </c:pt>
                <c:pt idx="470">
                  <c:v>3.0013018372469142</c:v>
                </c:pt>
                <c:pt idx="471">
                  <c:v>3.0134077305781797</c:v>
                </c:pt>
                <c:pt idx="472">
                  <c:v>3.0361390967076689</c:v>
                </c:pt>
                <c:pt idx="473">
                  <c:v>3.0417165354275735</c:v>
                </c:pt>
                <c:pt idx="474">
                  <c:v>3.065417172780986</c:v>
                </c:pt>
                <c:pt idx="475">
                  <c:v>3.0809116035390267</c:v>
                </c:pt>
                <c:pt idx="476">
                  <c:v>3.0330539455204892</c:v>
                </c:pt>
                <c:pt idx="477">
                  <c:v>2.9974082356218434</c:v>
                </c:pt>
                <c:pt idx="478">
                  <c:v>2.9496522858842016</c:v>
                </c:pt>
                <c:pt idx="479">
                  <c:v>2.8986147228099575</c:v>
                </c:pt>
                <c:pt idx="480">
                  <c:v>2.8781148537493584</c:v>
                </c:pt>
                <c:pt idx="481">
                  <c:v>2.8735901392018044</c:v>
                </c:pt>
                <c:pt idx="482">
                  <c:v>2.9116620697156708</c:v>
                </c:pt>
                <c:pt idx="483">
                  <c:v>2.9721767582457139</c:v>
                </c:pt>
                <c:pt idx="484">
                  <c:v>2.9708606357048883</c:v>
                </c:pt>
                <c:pt idx="485">
                  <c:v>2.9340631012576339</c:v>
                </c:pt>
                <c:pt idx="486">
                  <c:v>2.9202116504217601</c:v>
                </c:pt>
                <c:pt idx="487">
                  <c:v>2.8905736835083489</c:v>
                </c:pt>
                <c:pt idx="488">
                  <c:v>2.8632767456586379</c:v>
                </c:pt>
                <c:pt idx="489">
                  <c:v>2.863370630225619</c:v>
                </c:pt>
                <c:pt idx="490">
                  <c:v>2.8966075055399667</c:v>
                </c:pt>
                <c:pt idx="491">
                  <c:v>2.9348133084919357</c:v>
                </c:pt>
                <c:pt idx="492">
                  <c:v>2.9340665784638182</c:v>
                </c:pt>
                <c:pt idx="493">
                  <c:v>2.9039600580170486</c:v>
                </c:pt>
                <c:pt idx="494">
                  <c:v>2.8587511618095385</c:v>
                </c:pt>
                <c:pt idx="495">
                  <c:v>2.79452977148684</c:v>
                </c:pt>
                <c:pt idx="496">
                  <c:v>2.7047900342777926</c:v>
                </c:pt>
                <c:pt idx="497">
                  <c:v>2.6451246533583079</c:v>
                </c:pt>
                <c:pt idx="498">
                  <c:v>2.5882879796698983</c:v>
                </c:pt>
                <c:pt idx="499">
                  <c:v>2.5470526608297015</c:v>
                </c:pt>
                <c:pt idx="500">
                  <c:v>2.5001008150222206</c:v>
                </c:pt>
                <c:pt idx="501">
                  <c:v>2.4210447938149868</c:v>
                </c:pt>
                <c:pt idx="502">
                  <c:v>2.363754344719502</c:v>
                </c:pt>
                <c:pt idx="503">
                  <c:v>2.3543363317688395</c:v>
                </c:pt>
                <c:pt idx="504">
                  <c:v>2.3181620865301529</c:v>
                </c:pt>
                <c:pt idx="505">
                  <c:v>2.2384627821787899</c:v>
                </c:pt>
                <c:pt idx="506">
                  <c:v>2.155883481805132</c:v>
                </c:pt>
                <c:pt idx="507">
                  <c:v>2.0806793357487554</c:v>
                </c:pt>
                <c:pt idx="508">
                  <c:v>2.0017902204383762</c:v>
                </c:pt>
                <c:pt idx="509">
                  <c:v>1.9443911086496266</c:v>
                </c:pt>
                <c:pt idx="510">
                  <c:v>1.8528832120957712</c:v>
                </c:pt>
                <c:pt idx="511">
                  <c:v>1.7496232279399213</c:v>
                </c:pt>
                <c:pt idx="512">
                  <c:v>1.6678071743237566</c:v>
                </c:pt>
                <c:pt idx="513">
                  <c:v>1.6044924655136614</c:v>
                </c:pt>
                <c:pt idx="514">
                  <c:v>1.5827773128915867</c:v>
                </c:pt>
                <c:pt idx="515">
                  <c:v>1.5732315126136445</c:v>
                </c:pt>
                <c:pt idx="516">
                  <c:v>1.5461197359932575</c:v>
                </c:pt>
                <c:pt idx="517">
                  <c:v>1.5192244154578545</c:v>
                </c:pt>
                <c:pt idx="518">
                  <c:v>1.5093917456696926</c:v>
                </c:pt>
                <c:pt idx="519">
                  <c:v>1.4867447017901776</c:v>
                </c:pt>
                <c:pt idx="520">
                  <c:v>1.4506208760411659</c:v>
                </c:pt>
                <c:pt idx="521">
                  <c:v>1.4109120507159558</c:v>
                </c:pt>
                <c:pt idx="522">
                  <c:v>1.3803995664471482</c:v>
                </c:pt>
                <c:pt idx="523">
                  <c:v>1.3459647936022474</c:v>
                </c:pt>
                <c:pt idx="524">
                  <c:v>1.3056135544344549</c:v>
                </c:pt>
                <c:pt idx="525">
                  <c:v>1.2693306465025034</c:v>
                </c:pt>
                <c:pt idx="526">
                  <c:v>1.2398413301534785</c:v>
                </c:pt>
                <c:pt idx="527">
                  <c:v>1.2108040506084363</c:v>
                </c:pt>
                <c:pt idx="528">
                  <c:v>1.176487502773808</c:v>
                </c:pt>
                <c:pt idx="529">
                  <c:v>1.1415607052538033</c:v>
                </c:pt>
                <c:pt idx="530">
                  <c:v>1.1123408723840758</c:v>
                </c:pt>
                <c:pt idx="531">
                  <c:v>1.0567785947622776</c:v>
                </c:pt>
                <c:pt idx="532">
                  <c:v>0.99724534767780382</c:v>
                </c:pt>
                <c:pt idx="533">
                  <c:v>0.96670852296570453</c:v>
                </c:pt>
                <c:pt idx="534">
                  <c:v>0.92951110980723495</c:v>
                </c:pt>
                <c:pt idx="535">
                  <c:v>0.88805933488205457</c:v>
                </c:pt>
                <c:pt idx="536">
                  <c:v>0.87188337171185593</c:v>
                </c:pt>
                <c:pt idx="537">
                  <c:v>0.89167823721855166</c:v>
                </c:pt>
                <c:pt idx="538">
                  <c:v>0.96275754743858977</c:v>
                </c:pt>
                <c:pt idx="539">
                  <c:v>1.0850830531039408</c:v>
                </c:pt>
                <c:pt idx="540">
                  <c:v>1.2262445846706176</c:v>
                </c:pt>
                <c:pt idx="541">
                  <c:v>1.3539215106538827</c:v>
                </c:pt>
                <c:pt idx="542">
                  <c:v>1.442957113610573</c:v>
                </c:pt>
                <c:pt idx="543">
                  <c:v>1.481803591802032</c:v>
                </c:pt>
                <c:pt idx="544">
                  <c:v>1.5211933834598161</c:v>
                </c:pt>
                <c:pt idx="545">
                  <c:v>1.581067396750369</c:v>
                </c:pt>
                <c:pt idx="546">
                  <c:v>1.6240326256673439</c:v>
                </c:pt>
                <c:pt idx="547">
                  <c:v>1.6676689553779236</c:v>
                </c:pt>
                <c:pt idx="548">
                  <c:v>1.7266727978208105</c:v>
                </c:pt>
                <c:pt idx="549">
                  <c:v>1.7875126051291024</c:v>
                </c:pt>
                <c:pt idx="550">
                  <c:v>1.8514497338462197</c:v>
                </c:pt>
                <c:pt idx="551">
                  <c:v>1.9253716601220698</c:v>
                </c:pt>
                <c:pt idx="552">
                  <c:v>2.011855863040898</c:v>
                </c:pt>
                <c:pt idx="553">
                  <c:v>2.1024057892909296</c:v>
                </c:pt>
                <c:pt idx="554">
                  <c:v>2.1617364891151576</c:v>
                </c:pt>
                <c:pt idx="555">
                  <c:v>2.1848051442445406</c:v>
                </c:pt>
                <c:pt idx="556">
                  <c:v>2.2376056508543161</c:v>
                </c:pt>
                <c:pt idx="557">
                  <c:v>2.321767949343458</c:v>
                </c:pt>
                <c:pt idx="558">
                  <c:v>2.3863327137768739</c:v>
                </c:pt>
                <c:pt idx="559">
                  <c:v>2.6326806017256024</c:v>
                </c:pt>
                <c:pt idx="560">
                  <c:v>3.0333616782678154</c:v>
                </c:pt>
                <c:pt idx="561">
                  <c:v>3.2625556388069605</c:v>
                </c:pt>
                <c:pt idx="562">
                  <c:v>3.3695405800879339</c:v>
                </c:pt>
                <c:pt idx="563">
                  <c:v>3.4065302301768807</c:v>
                </c:pt>
                <c:pt idx="564">
                  <c:v>3.3809414698652964</c:v>
                </c:pt>
                <c:pt idx="565">
                  <c:v>3.3602121051965215</c:v>
                </c:pt>
                <c:pt idx="566">
                  <c:v>3.3170869247950603</c:v>
                </c:pt>
                <c:pt idx="567">
                  <c:v>3.2557924727781478</c:v>
                </c:pt>
                <c:pt idx="568">
                  <c:v>3.231806704517608</c:v>
                </c:pt>
                <c:pt idx="569">
                  <c:v>3.2391357858529446</c:v>
                </c:pt>
                <c:pt idx="570">
                  <c:v>3.2476627647188345</c:v>
                </c:pt>
                <c:pt idx="571">
                  <c:v>3.2408535257080775</c:v>
                </c:pt>
                <c:pt idx="572">
                  <c:v>3.2313963941878394</c:v>
                </c:pt>
                <c:pt idx="573">
                  <c:v>3.2601137707639096</c:v>
                </c:pt>
                <c:pt idx="574">
                  <c:v>3.2801763811468105</c:v>
                </c:pt>
                <c:pt idx="575">
                  <c:v>3.2538791400751377</c:v>
                </c:pt>
                <c:pt idx="576">
                  <c:v>3.198820188048543</c:v>
                </c:pt>
                <c:pt idx="577">
                  <c:v>3.1398937134432607</c:v>
                </c:pt>
                <c:pt idx="578">
                  <c:v>3.0841540983060542</c:v>
                </c:pt>
                <c:pt idx="579">
                  <c:v>3.0268088832131639</c:v>
                </c:pt>
                <c:pt idx="580">
                  <c:v>2.9996093071366192</c:v>
                </c:pt>
                <c:pt idx="581">
                  <c:v>2.9668409853556303</c:v>
                </c:pt>
                <c:pt idx="582">
                  <c:v>2.9297052926069349</c:v>
                </c:pt>
                <c:pt idx="583">
                  <c:v>2.9241739268689741</c:v>
                </c:pt>
                <c:pt idx="584">
                  <c:v>2.9091715207860371</c:v>
                </c:pt>
                <c:pt idx="585">
                  <c:v>2.8526990844454518</c:v>
                </c:pt>
                <c:pt idx="586">
                  <c:v>2.7738447411969172</c:v>
                </c:pt>
                <c:pt idx="587">
                  <c:v>2.7131327212159047</c:v>
                </c:pt>
                <c:pt idx="588">
                  <c:v>2.68925561564863</c:v>
                </c:pt>
                <c:pt idx="589">
                  <c:v>2.6717487518113221</c:v>
                </c:pt>
                <c:pt idx="590">
                  <c:v>2.6543914078399462</c:v>
                </c:pt>
                <c:pt idx="591">
                  <c:v>2.6771019107323282</c:v>
                </c:pt>
                <c:pt idx="592">
                  <c:v>2.7090478732506873</c:v>
                </c:pt>
                <c:pt idx="593">
                  <c:v>2.7069233002719706</c:v>
                </c:pt>
                <c:pt idx="594">
                  <c:v>2.6792986357393733</c:v>
                </c:pt>
                <c:pt idx="595">
                  <c:v>2.6368428175284242</c:v>
                </c:pt>
                <c:pt idx="596">
                  <c:v>2.5925649432768081</c:v>
                </c:pt>
                <c:pt idx="597">
                  <c:v>2.5843804692200893</c:v>
                </c:pt>
                <c:pt idx="598">
                  <c:v>2.5830069727772198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36-C543-B103-596C9E4E5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4115952"/>
        <c:axId val="1951502672"/>
      </c:lineChart>
      <c:catAx>
        <c:axId val="2034115952"/>
        <c:scaling>
          <c:orientation val="minMax"/>
        </c:scaling>
        <c:delete val="1"/>
        <c:axPos val="b"/>
        <c:majorTickMark val="in"/>
        <c:minorTickMark val="none"/>
        <c:tickLblPos val="nextTo"/>
        <c:crossAx val="1951502672"/>
        <c:crossesAt val="0"/>
        <c:auto val="1"/>
        <c:lblAlgn val="ctr"/>
        <c:lblOffset val="100"/>
        <c:noMultiLvlLbl val="0"/>
      </c:catAx>
      <c:valAx>
        <c:axId val="1951502672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115952"/>
        <c:crossesAt val="1"/>
        <c:crossBetween val="midCat"/>
        <c:majorUnit val="1"/>
        <c:minorUnit val="0.5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Area Under Peaks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'Entire Trace Calc'!$K$2:$K$600</c:f>
              <c:numCache>
                <c:formatCode>General</c:formatCode>
                <c:ptCount val="599"/>
                <c:pt idx="0">
                  <c:v>3501.2959999999998</c:v>
                </c:pt>
                <c:pt idx="1">
                  <c:v>2916.9450000000002</c:v>
                </c:pt>
                <c:pt idx="2">
                  <c:v>2612.9160000000002</c:v>
                </c:pt>
                <c:pt idx="3">
                  <c:v>2421.8670000000002</c:v>
                </c:pt>
                <c:pt idx="4">
                  <c:v>2232.8090000000002</c:v>
                </c:pt>
                <c:pt idx="5">
                  <c:v>2091.12</c:v>
                </c:pt>
                <c:pt idx="6">
                  <c:v>1952.8150000000001</c:v>
                </c:pt>
                <c:pt idx="7">
                  <c:v>1848.5</c:v>
                </c:pt>
                <c:pt idx="8">
                  <c:v>1732.893</c:v>
                </c:pt>
                <c:pt idx="9">
                  <c:v>1653.4159999999999</c:v>
                </c:pt>
                <c:pt idx="10">
                  <c:v>1588.1659999999999</c:v>
                </c:pt>
                <c:pt idx="11">
                  <c:v>1552.77</c:v>
                </c:pt>
                <c:pt idx="12">
                  <c:v>1498.9680000000001</c:v>
                </c:pt>
                <c:pt idx="13">
                  <c:v>1469.701</c:v>
                </c:pt>
                <c:pt idx="14">
                  <c:v>1404.7170000000001</c:v>
                </c:pt>
                <c:pt idx="15">
                  <c:v>1382.712</c:v>
                </c:pt>
                <c:pt idx="16">
                  <c:v>1410.65</c:v>
                </c:pt>
                <c:pt idx="17">
                  <c:v>1381.346</c:v>
                </c:pt>
                <c:pt idx="18">
                  <c:v>0</c:v>
                </c:pt>
                <c:pt idx="19">
                  <c:v>1361.4770000000001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1627.21</c:v>
                </c:pt>
                <c:pt idx="143">
                  <c:v>2900.9949999999999</c:v>
                </c:pt>
                <c:pt idx="144">
                  <c:v>3974.8989999999999</c:v>
                </c:pt>
                <c:pt idx="145">
                  <c:v>4897.5420000000004</c:v>
                </c:pt>
                <c:pt idx="146">
                  <c:v>5639.1850000000004</c:v>
                </c:pt>
                <c:pt idx="147">
                  <c:v>6255.3450000000003</c:v>
                </c:pt>
                <c:pt idx="148">
                  <c:v>6947.1030000000001</c:v>
                </c:pt>
                <c:pt idx="149">
                  <c:v>7531.4390000000003</c:v>
                </c:pt>
                <c:pt idx="150">
                  <c:v>8053.1120000000001</c:v>
                </c:pt>
                <c:pt idx="151">
                  <c:v>8458.43</c:v>
                </c:pt>
                <c:pt idx="152">
                  <c:v>8608.8829999999998</c:v>
                </c:pt>
                <c:pt idx="153">
                  <c:v>8642.1579999999994</c:v>
                </c:pt>
                <c:pt idx="154">
                  <c:v>8625.366</c:v>
                </c:pt>
                <c:pt idx="155">
                  <c:v>8533.3379999999997</c:v>
                </c:pt>
                <c:pt idx="156">
                  <c:v>8383.4249999999993</c:v>
                </c:pt>
                <c:pt idx="157">
                  <c:v>8108.2250000000004</c:v>
                </c:pt>
                <c:pt idx="158">
                  <c:v>7848.7290000000003</c:v>
                </c:pt>
                <c:pt idx="159">
                  <c:v>7620.7269999999999</c:v>
                </c:pt>
                <c:pt idx="160">
                  <c:v>7145.7110000000002</c:v>
                </c:pt>
                <c:pt idx="161">
                  <c:v>6785.88</c:v>
                </c:pt>
                <c:pt idx="162">
                  <c:v>6613.3109999999997</c:v>
                </c:pt>
                <c:pt idx="163">
                  <c:v>6471.3109999999997</c:v>
                </c:pt>
                <c:pt idx="164">
                  <c:v>6290.1019999999999</c:v>
                </c:pt>
                <c:pt idx="165">
                  <c:v>6097.2179999999998</c:v>
                </c:pt>
                <c:pt idx="166">
                  <c:v>5933.5879999999997</c:v>
                </c:pt>
                <c:pt idx="167">
                  <c:v>5780.8450000000003</c:v>
                </c:pt>
                <c:pt idx="168">
                  <c:v>5671.6949999999997</c:v>
                </c:pt>
                <c:pt idx="169">
                  <c:v>5486.2039999999997</c:v>
                </c:pt>
                <c:pt idx="170">
                  <c:v>5290.3680000000004</c:v>
                </c:pt>
                <c:pt idx="171">
                  <c:v>5049.7240000000002</c:v>
                </c:pt>
                <c:pt idx="172">
                  <c:v>4796.7340000000004</c:v>
                </c:pt>
                <c:pt idx="173">
                  <c:v>4654.6660000000002</c:v>
                </c:pt>
                <c:pt idx="174">
                  <c:v>4515.2569999999996</c:v>
                </c:pt>
                <c:pt idx="175">
                  <c:v>4385.2809999999999</c:v>
                </c:pt>
                <c:pt idx="176">
                  <c:v>4184.201</c:v>
                </c:pt>
                <c:pt idx="177">
                  <c:v>4022.08</c:v>
                </c:pt>
                <c:pt idx="178">
                  <c:v>3919.5729999999999</c:v>
                </c:pt>
                <c:pt idx="179">
                  <c:v>3874.8150000000001</c:v>
                </c:pt>
                <c:pt idx="180">
                  <c:v>3845.9780000000001</c:v>
                </c:pt>
                <c:pt idx="181">
                  <c:v>3823.3560000000002</c:v>
                </c:pt>
                <c:pt idx="182">
                  <c:v>3876.181</c:v>
                </c:pt>
                <c:pt idx="183">
                  <c:v>3869.797</c:v>
                </c:pt>
                <c:pt idx="184">
                  <c:v>3880.3330000000001</c:v>
                </c:pt>
                <c:pt idx="185">
                  <c:v>3887.2809999999999</c:v>
                </c:pt>
                <c:pt idx="186">
                  <c:v>3826.8510000000001</c:v>
                </c:pt>
                <c:pt idx="187">
                  <c:v>3743.7660000000001</c:v>
                </c:pt>
                <c:pt idx="188">
                  <c:v>3636.893</c:v>
                </c:pt>
                <c:pt idx="189">
                  <c:v>3568.3490000000002</c:v>
                </c:pt>
                <c:pt idx="190">
                  <c:v>3583.3159999999998</c:v>
                </c:pt>
                <c:pt idx="191">
                  <c:v>3614.11</c:v>
                </c:pt>
                <c:pt idx="192">
                  <c:v>3618.2550000000001</c:v>
                </c:pt>
                <c:pt idx="193">
                  <c:v>3642.8220000000001</c:v>
                </c:pt>
                <c:pt idx="194">
                  <c:v>3736.1219999999998</c:v>
                </c:pt>
                <c:pt idx="195">
                  <c:v>3818.982</c:v>
                </c:pt>
                <c:pt idx="196">
                  <c:v>3928.567</c:v>
                </c:pt>
                <c:pt idx="197">
                  <c:v>4055.1190000000001</c:v>
                </c:pt>
                <c:pt idx="198">
                  <c:v>4175.0659999999998</c:v>
                </c:pt>
                <c:pt idx="199">
                  <c:v>4385.652</c:v>
                </c:pt>
                <c:pt idx="200">
                  <c:v>4423.308</c:v>
                </c:pt>
                <c:pt idx="201">
                  <c:v>4377.3620000000001</c:v>
                </c:pt>
                <c:pt idx="202">
                  <c:v>4380.0159999999996</c:v>
                </c:pt>
                <c:pt idx="203">
                  <c:v>4404.5200000000004</c:v>
                </c:pt>
                <c:pt idx="204">
                  <c:v>4430.7470000000003</c:v>
                </c:pt>
                <c:pt idx="205">
                  <c:v>4403.4380000000001</c:v>
                </c:pt>
                <c:pt idx="206">
                  <c:v>4443.8329999999996</c:v>
                </c:pt>
                <c:pt idx="207">
                  <c:v>4486.4459999999999</c:v>
                </c:pt>
                <c:pt idx="208">
                  <c:v>4784.33</c:v>
                </c:pt>
                <c:pt idx="209">
                  <c:v>5624.9489999999996</c:v>
                </c:pt>
                <c:pt idx="210">
                  <c:v>5698.9790000000003</c:v>
                </c:pt>
                <c:pt idx="211">
                  <c:v>5694.3829999999998</c:v>
                </c:pt>
                <c:pt idx="212">
                  <c:v>5711.7370000000001</c:v>
                </c:pt>
                <c:pt idx="213">
                  <c:v>5683.2740000000003</c:v>
                </c:pt>
                <c:pt idx="214">
                  <c:v>5660.7030000000004</c:v>
                </c:pt>
                <c:pt idx="215">
                  <c:v>5577.2719999999999</c:v>
                </c:pt>
                <c:pt idx="216">
                  <c:v>5514.2460000000001</c:v>
                </c:pt>
                <c:pt idx="217">
                  <c:v>5441.91</c:v>
                </c:pt>
                <c:pt idx="218">
                  <c:v>5406.884</c:v>
                </c:pt>
                <c:pt idx="219">
                  <c:v>5358.5469999999996</c:v>
                </c:pt>
                <c:pt idx="220">
                  <c:v>5289.2560000000003</c:v>
                </c:pt>
                <c:pt idx="221">
                  <c:v>5294.26</c:v>
                </c:pt>
                <c:pt idx="222">
                  <c:v>5256.6289999999999</c:v>
                </c:pt>
                <c:pt idx="223">
                  <c:v>5184.1850000000004</c:v>
                </c:pt>
                <c:pt idx="224">
                  <c:v>5100.0659999999998</c:v>
                </c:pt>
                <c:pt idx="225">
                  <c:v>5024.9250000000002</c:v>
                </c:pt>
                <c:pt idx="226">
                  <c:v>4926.2780000000002</c:v>
                </c:pt>
                <c:pt idx="227">
                  <c:v>4858.5410000000002</c:v>
                </c:pt>
                <c:pt idx="228">
                  <c:v>4726.3969999999999</c:v>
                </c:pt>
                <c:pt idx="229">
                  <c:v>4654.8209999999999</c:v>
                </c:pt>
                <c:pt idx="230">
                  <c:v>4664.2889999999998</c:v>
                </c:pt>
                <c:pt idx="231">
                  <c:v>4591.33</c:v>
                </c:pt>
                <c:pt idx="232">
                  <c:v>4615.1819999999998</c:v>
                </c:pt>
                <c:pt idx="233">
                  <c:v>4673.2719999999999</c:v>
                </c:pt>
                <c:pt idx="234">
                  <c:v>4716.6930000000002</c:v>
                </c:pt>
                <c:pt idx="235">
                  <c:v>4756.1180000000004</c:v>
                </c:pt>
                <c:pt idx="236">
                  <c:v>4768.1629999999996</c:v>
                </c:pt>
                <c:pt idx="237">
                  <c:v>4753.6120000000001</c:v>
                </c:pt>
                <c:pt idx="238">
                  <c:v>4750.9210000000003</c:v>
                </c:pt>
                <c:pt idx="239">
                  <c:v>4750.4210000000003</c:v>
                </c:pt>
                <c:pt idx="240">
                  <c:v>4722.9110000000001</c:v>
                </c:pt>
                <c:pt idx="241">
                  <c:v>4727.3890000000001</c:v>
                </c:pt>
                <c:pt idx="242">
                  <c:v>4751.723</c:v>
                </c:pt>
                <c:pt idx="243">
                  <c:v>4716.4920000000002</c:v>
                </c:pt>
                <c:pt idx="244">
                  <c:v>4716.1189999999997</c:v>
                </c:pt>
                <c:pt idx="245">
                  <c:v>4698.1719999999996</c:v>
                </c:pt>
                <c:pt idx="246">
                  <c:v>4604.07</c:v>
                </c:pt>
                <c:pt idx="247">
                  <c:v>4546.8</c:v>
                </c:pt>
                <c:pt idx="248">
                  <c:v>4522.4709999999995</c:v>
                </c:pt>
                <c:pt idx="249">
                  <c:v>4569.2190000000001</c:v>
                </c:pt>
                <c:pt idx="250">
                  <c:v>4551.107</c:v>
                </c:pt>
                <c:pt idx="251">
                  <c:v>4504.1629999999996</c:v>
                </c:pt>
                <c:pt idx="252">
                  <c:v>4480.3909999999996</c:v>
                </c:pt>
                <c:pt idx="253">
                  <c:v>4453.5690000000004</c:v>
                </c:pt>
                <c:pt idx="254">
                  <c:v>4452.366</c:v>
                </c:pt>
                <c:pt idx="255">
                  <c:v>4433.018</c:v>
                </c:pt>
                <c:pt idx="256">
                  <c:v>4414.1850000000004</c:v>
                </c:pt>
                <c:pt idx="257">
                  <c:v>4390.192</c:v>
                </c:pt>
                <c:pt idx="258">
                  <c:v>4390.8519999999999</c:v>
                </c:pt>
                <c:pt idx="259">
                  <c:v>4359.0420000000004</c:v>
                </c:pt>
                <c:pt idx="260">
                  <c:v>4319.5379999999996</c:v>
                </c:pt>
                <c:pt idx="261">
                  <c:v>4254.4110000000001</c:v>
                </c:pt>
                <c:pt idx="262">
                  <c:v>4225.2820000000002</c:v>
                </c:pt>
                <c:pt idx="263">
                  <c:v>4122.2060000000001</c:v>
                </c:pt>
                <c:pt idx="264">
                  <c:v>4044.7249999999999</c:v>
                </c:pt>
                <c:pt idx="265">
                  <c:v>3915.4090000000001</c:v>
                </c:pt>
                <c:pt idx="266">
                  <c:v>3880.6480000000001</c:v>
                </c:pt>
                <c:pt idx="267">
                  <c:v>3901.212</c:v>
                </c:pt>
                <c:pt idx="268">
                  <c:v>3924.6880000000001</c:v>
                </c:pt>
                <c:pt idx="269">
                  <c:v>4003.7840000000001</c:v>
                </c:pt>
                <c:pt idx="270">
                  <c:v>4090.7150000000001</c:v>
                </c:pt>
                <c:pt idx="271">
                  <c:v>4075.779</c:v>
                </c:pt>
                <c:pt idx="272">
                  <c:v>4059.1619999999998</c:v>
                </c:pt>
                <c:pt idx="273">
                  <c:v>4029.8240000000001</c:v>
                </c:pt>
                <c:pt idx="274">
                  <c:v>4052.01</c:v>
                </c:pt>
                <c:pt idx="275">
                  <c:v>4111.8919999999998</c:v>
                </c:pt>
                <c:pt idx="276">
                  <c:v>4096.99</c:v>
                </c:pt>
                <c:pt idx="277">
                  <c:v>4065.9119999999998</c:v>
                </c:pt>
                <c:pt idx="278">
                  <c:v>4073.4540000000002</c:v>
                </c:pt>
                <c:pt idx="279">
                  <c:v>4041.4279999999999</c:v>
                </c:pt>
                <c:pt idx="280">
                  <c:v>3997.7820000000002</c:v>
                </c:pt>
                <c:pt idx="281">
                  <c:v>3905.027</c:v>
                </c:pt>
                <c:pt idx="282">
                  <c:v>3811.7579999999998</c:v>
                </c:pt>
                <c:pt idx="283">
                  <c:v>3727.808</c:v>
                </c:pt>
                <c:pt idx="284">
                  <c:v>3663.3789999999999</c:v>
                </c:pt>
                <c:pt idx="285">
                  <c:v>3619.8620000000001</c:v>
                </c:pt>
                <c:pt idx="286">
                  <c:v>3638.6329999999998</c:v>
                </c:pt>
                <c:pt idx="287">
                  <c:v>3652.627</c:v>
                </c:pt>
                <c:pt idx="288">
                  <c:v>3600.9079999999999</c:v>
                </c:pt>
                <c:pt idx="289">
                  <c:v>3529.3020000000001</c:v>
                </c:pt>
                <c:pt idx="290">
                  <c:v>3484.1109999999999</c:v>
                </c:pt>
                <c:pt idx="291">
                  <c:v>3365.7179999999998</c:v>
                </c:pt>
                <c:pt idx="292">
                  <c:v>3213.2629999999999</c:v>
                </c:pt>
                <c:pt idx="293">
                  <c:v>3124.547</c:v>
                </c:pt>
                <c:pt idx="294">
                  <c:v>3110.5859999999998</c:v>
                </c:pt>
                <c:pt idx="295">
                  <c:v>3126.4110000000001</c:v>
                </c:pt>
                <c:pt idx="296">
                  <c:v>3342.9319999999998</c:v>
                </c:pt>
                <c:pt idx="297">
                  <c:v>3902.4769999999999</c:v>
                </c:pt>
                <c:pt idx="298">
                  <c:v>4126.6049999999996</c:v>
                </c:pt>
                <c:pt idx="299">
                  <c:v>4242.1620000000003</c:v>
                </c:pt>
                <c:pt idx="300">
                  <c:v>4328.3410000000003</c:v>
                </c:pt>
                <c:pt idx="301">
                  <c:v>4308.6099999999997</c:v>
                </c:pt>
                <c:pt idx="302">
                  <c:v>4249.1499999999996</c:v>
                </c:pt>
                <c:pt idx="303">
                  <c:v>4232.4769999999999</c:v>
                </c:pt>
                <c:pt idx="304">
                  <c:v>4215.2309999999998</c:v>
                </c:pt>
                <c:pt idx="305">
                  <c:v>4157.3789999999999</c:v>
                </c:pt>
                <c:pt idx="306">
                  <c:v>4140.3549999999996</c:v>
                </c:pt>
                <c:pt idx="307">
                  <c:v>4150.8419999999996</c:v>
                </c:pt>
                <c:pt idx="308">
                  <c:v>4124.598</c:v>
                </c:pt>
                <c:pt idx="309">
                  <c:v>4051.5749999999998</c:v>
                </c:pt>
                <c:pt idx="310">
                  <c:v>3979.5830000000001</c:v>
                </c:pt>
                <c:pt idx="311">
                  <c:v>3933.163</c:v>
                </c:pt>
                <c:pt idx="312">
                  <c:v>3885.8560000000002</c:v>
                </c:pt>
                <c:pt idx="313">
                  <c:v>3852.8429999999998</c:v>
                </c:pt>
                <c:pt idx="314">
                  <c:v>3859.8789999999999</c:v>
                </c:pt>
                <c:pt idx="315">
                  <c:v>3831.5369999999998</c:v>
                </c:pt>
                <c:pt idx="316">
                  <c:v>3844.4639999999999</c:v>
                </c:pt>
                <c:pt idx="317">
                  <c:v>3855.3119999999999</c:v>
                </c:pt>
                <c:pt idx="318">
                  <c:v>3891.047</c:v>
                </c:pt>
                <c:pt idx="319">
                  <c:v>3897.3589999999999</c:v>
                </c:pt>
                <c:pt idx="320">
                  <c:v>3916.8389999999999</c:v>
                </c:pt>
                <c:pt idx="321">
                  <c:v>3898.7109999999998</c:v>
                </c:pt>
                <c:pt idx="322">
                  <c:v>3857.0909999999999</c:v>
                </c:pt>
                <c:pt idx="323">
                  <c:v>3778.43</c:v>
                </c:pt>
                <c:pt idx="324">
                  <c:v>3686.518</c:v>
                </c:pt>
                <c:pt idx="325">
                  <c:v>3633.4450000000002</c:v>
                </c:pt>
                <c:pt idx="326">
                  <c:v>3609.4009999999998</c:v>
                </c:pt>
                <c:pt idx="327">
                  <c:v>3606.692</c:v>
                </c:pt>
                <c:pt idx="328">
                  <c:v>3561.297</c:v>
                </c:pt>
                <c:pt idx="329">
                  <c:v>3534.067</c:v>
                </c:pt>
                <c:pt idx="330">
                  <c:v>3480.9769999999999</c:v>
                </c:pt>
                <c:pt idx="331">
                  <c:v>3428.03</c:v>
                </c:pt>
                <c:pt idx="332">
                  <c:v>3410.0659999999998</c:v>
                </c:pt>
                <c:pt idx="333">
                  <c:v>3439.88</c:v>
                </c:pt>
                <c:pt idx="334">
                  <c:v>3424.5880000000002</c:v>
                </c:pt>
                <c:pt idx="335">
                  <c:v>3436.1190000000001</c:v>
                </c:pt>
                <c:pt idx="336">
                  <c:v>3498.85</c:v>
                </c:pt>
                <c:pt idx="337">
                  <c:v>3561.2860000000001</c:v>
                </c:pt>
                <c:pt idx="338">
                  <c:v>3603.6329999999998</c:v>
                </c:pt>
                <c:pt idx="339">
                  <c:v>3646.65</c:v>
                </c:pt>
                <c:pt idx="340">
                  <c:v>3713.855</c:v>
                </c:pt>
                <c:pt idx="341">
                  <c:v>3756.172</c:v>
                </c:pt>
                <c:pt idx="342">
                  <c:v>3796.509</c:v>
                </c:pt>
                <c:pt idx="343">
                  <c:v>3798.9110000000001</c:v>
                </c:pt>
                <c:pt idx="344">
                  <c:v>3795.0070000000001</c:v>
                </c:pt>
                <c:pt idx="345">
                  <c:v>3792.4369999999999</c:v>
                </c:pt>
                <c:pt idx="346">
                  <c:v>3767.1469999999999</c:v>
                </c:pt>
                <c:pt idx="347">
                  <c:v>3750.692</c:v>
                </c:pt>
                <c:pt idx="348">
                  <c:v>3732.1840000000002</c:v>
                </c:pt>
                <c:pt idx="349">
                  <c:v>3677.1060000000002</c:v>
                </c:pt>
                <c:pt idx="350">
                  <c:v>3708.212</c:v>
                </c:pt>
                <c:pt idx="351">
                  <c:v>3750.6529999999998</c:v>
                </c:pt>
                <c:pt idx="352">
                  <c:v>3709.4470000000001</c:v>
                </c:pt>
                <c:pt idx="353">
                  <c:v>3623.0929999999998</c:v>
                </c:pt>
                <c:pt idx="354">
                  <c:v>3499.0859999999998</c:v>
                </c:pt>
                <c:pt idx="355">
                  <c:v>3438.6970000000001</c:v>
                </c:pt>
                <c:pt idx="356">
                  <c:v>3409.4389999999999</c:v>
                </c:pt>
                <c:pt idx="357">
                  <c:v>3386.1170000000002</c:v>
                </c:pt>
                <c:pt idx="358">
                  <c:v>3388.857</c:v>
                </c:pt>
                <c:pt idx="359">
                  <c:v>3377.451</c:v>
                </c:pt>
                <c:pt idx="360">
                  <c:v>3355.596</c:v>
                </c:pt>
                <c:pt idx="361">
                  <c:v>3357.0549999999998</c:v>
                </c:pt>
                <c:pt idx="362">
                  <c:v>3366.2579999999998</c:v>
                </c:pt>
                <c:pt idx="363">
                  <c:v>3368.0680000000002</c:v>
                </c:pt>
                <c:pt idx="364">
                  <c:v>3349.1680000000001</c:v>
                </c:pt>
                <c:pt idx="365">
                  <c:v>3379.9070000000002</c:v>
                </c:pt>
                <c:pt idx="366">
                  <c:v>3424.54</c:v>
                </c:pt>
                <c:pt idx="367">
                  <c:v>3420.04</c:v>
                </c:pt>
                <c:pt idx="368">
                  <c:v>3398.1039999999998</c:v>
                </c:pt>
                <c:pt idx="369">
                  <c:v>3366.799</c:v>
                </c:pt>
                <c:pt idx="370">
                  <c:v>3318.904</c:v>
                </c:pt>
                <c:pt idx="371">
                  <c:v>3270.7660000000001</c:v>
                </c:pt>
                <c:pt idx="372">
                  <c:v>3219.9989999999998</c:v>
                </c:pt>
                <c:pt idx="373">
                  <c:v>3181.8649999999998</c:v>
                </c:pt>
                <c:pt idx="374">
                  <c:v>3143.116</c:v>
                </c:pt>
                <c:pt idx="375">
                  <c:v>3177.8719999999998</c:v>
                </c:pt>
                <c:pt idx="376">
                  <c:v>3187.14</c:v>
                </c:pt>
                <c:pt idx="377">
                  <c:v>3165.7289999999998</c:v>
                </c:pt>
                <c:pt idx="378">
                  <c:v>3115.33</c:v>
                </c:pt>
                <c:pt idx="379">
                  <c:v>3084.8989999999999</c:v>
                </c:pt>
                <c:pt idx="380">
                  <c:v>3016.6909999999998</c:v>
                </c:pt>
                <c:pt idx="381">
                  <c:v>2931.7289999999998</c:v>
                </c:pt>
                <c:pt idx="382">
                  <c:v>2895.4009999999998</c:v>
                </c:pt>
                <c:pt idx="383">
                  <c:v>2909.1979999999999</c:v>
                </c:pt>
                <c:pt idx="384">
                  <c:v>2911.57</c:v>
                </c:pt>
                <c:pt idx="385">
                  <c:v>2923.43</c:v>
                </c:pt>
                <c:pt idx="386">
                  <c:v>3055.7139999999999</c:v>
                </c:pt>
                <c:pt idx="387">
                  <c:v>3304.6170000000002</c:v>
                </c:pt>
                <c:pt idx="388">
                  <c:v>3429.393</c:v>
                </c:pt>
                <c:pt idx="389">
                  <c:v>3458.8879999999999</c:v>
                </c:pt>
                <c:pt idx="390">
                  <c:v>3397.0830000000001</c:v>
                </c:pt>
                <c:pt idx="391">
                  <c:v>3344.857</c:v>
                </c:pt>
                <c:pt idx="392">
                  <c:v>3294.9740000000002</c:v>
                </c:pt>
                <c:pt idx="393">
                  <c:v>3173.8510000000001</c:v>
                </c:pt>
                <c:pt idx="394">
                  <c:v>3021.5210000000002</c:v>
                </c:pt>
                <c:pt idx="395">
                  <c:v>3082.9540000000002</c:v>
                </c:pt>
                <c:pt idx="396">
                  <c:v>3467.7289999999998</c:v>
                </c:pt>
                <c:pt idx="397">
                  <c:v>3593.9229999999998</c:v>
                </c:pt>
                <c:pt idx="398">
                  <c:v>3591.5360000000001</c:v>
                </c:pt>
                <c:pt idx="399">
                  <c:v>3596.4180000000001</c:v>
                </c:pt>
                <c:pt idx="400">
                  <c:v>3586.1370000000002</c:v>
                </c:pt>
                <c:pt idx="401">
                  <c:v>3524.9079999999999</c:v>
                </c:pt>
                <c:pt idx="402">
                  <c:v>3560.0079999999998</c:v>
                </c:pt>
                <c:pt idx="403">
                  <c:v>3697.6350000000002</c:v>
                </c:pt>
                <c:pt idx="404">
                  <c:v>3867.9920000000002</c:v>
                </c:pt>
                <c:pt idx="405">
                  <c:v>3934.2739999999999</c:v>
                </c:pt>
                <c:pt idx="406">
                  <c:v>3925.913</c:v>
                </c:pt>
                <c:pt idx="407">
                  <c:v>3897.3960000000002</c:v>
                </c:pt>
                <c:pt idx="408">
                  <c:v>3892.7869999999998</c:v>
                </c:pt>
                <c:pt idx="409">
                  <c:v>3842.93</c:v>
                </c:pt>
                <c:pt idx="410">
                  <c:v>3818.19</c:v>
                </c:pt>
                <c:pt idx="411">
                  <c:v>3789.4059999999999</c:v>
                </c:pt>
                <c:pt idx="412">
                  <c:v>3690.8380000000002</c:v>
                </c:pt>
                <c:pt idx="413">
                  <c:v>3591.6019999999999</c:v>
                </c:pt>
                <c:pt idx="414">
                  <c:v>3569.1309999999999</c:v>
                </c:pt>
                <c:pt idx="415">
                  <c:v>3551.3470000000002</c:v>
                </c:pt>
                <c:pt idx="416">
                  <c:v>3477.7020000000002</c:v>
                </c:pt>
                <c:pt idx="417">
                  <c:v>3367.3220000000001</c:v>
                </c:pt>
                <c:pt idx="418">
                  <c:v>3257.0529999999999</c:v>
                </c:pt>
                <c:pt idx="419">
                  <c:v>3177.569</c:v>
                </c:pt>
                <c:pt idx="420">
                  <c:v>3205.2089999999998</c:v>
                </c:pt>
                <c:pt idx="421">
                  <c:v>3347.03</c:v>
                </c:pt>
                <c:pt idx="422">
                  <c:v>3476.3249999999998</c:v>
                </c:pt>
                <c:pt idx="423">
                  <c:v>3564.951</c:v>
                </c:pt>
                <c:pt idx="424">
                  <c:v>3566.3180000000002</c:v>
                </c:pt>
                <c:pt idx="425">
                  <c:v>3551.6909999999998</c:v>
                </c:pt>
                <c:pt idx="426">
                  <c:v>3542.7759999999998</c:v>
                </c:pt>
                <c:pt idx="427">
                  <c:v>3475.55</c:v>
                </c:pt>
                <c:pt idx="428">
                  <c:v>3423.1120000000001</c:v>
                </c:pt>
                <c:pt idx="429">
                  <c:v>3385.9769999999999</c:v>
                </c:pt>
                <c:pt idx="430">
                  <c:v>3393.1860000000001</c:v>
                </c:pt>
                <c:pt idx="431">
                  <c:v>3415.576</c:v>
                </c:pt>
                <c:pt idx="432">
                  <c:v>3392.47</c:v>
                </c:pt>
                <c:pt idx="433">
                  <c:v>3349.7579999999998</c:v>
                </c:pt>
                <c:pt idx="434">
                  <c:v>3291.2089999999998</c:v>
                </c:pt>
                <c:pt idx="435">
                  <c:v>3292.84</c:v>
                </c:pt>
                <c:pt idx="436">
                  <c:v>3325.5659999999998</c:v>
                </c:pt>
                <c:pt idx="437">
                  <c:v>3325.6529999999998</c:v>
                </c:pt>
                <c:pt idx="438">
                  <c:v>3307.8710000000001</c:v>
                </c:pt>
                <c:pt idx="439">
                  <c:v>3298.837</c:v>
                </c:pt>
                <c:pt idx="440">
                  <c:v>3233.3359999999998</c:v>
                </c:pt>
                <c:pt idx="441">
                  <c:v>3167.8009999999999</c:v>
                </c:pt>
                <c:pt idx="442">
                  <c:v>3125.1709999999998</c:v>
                </c:pt>
                <c:pt idx="443">
                  <c:v>3076.2660000000001</c:v>
                </c:pt>
                <c:pt idx="444">
                  <c:v>2968.45</c:v>
                </c:pt>
                <c:pt idx="445">
                  <c:v>2843.0360000000001</c:v>
                </c:pt>
                <c:pt idx="446">
                  <c:v>2718.1729999999998</c:v>
                </c:pt>
                <c:pt idx="447">
                  <c:v>2575.4340000000002</c:v>
                </c:pt>
                <c:pt idx="448">
                  <c:v>2458.1439999999998</c:v>
                </c:pt>
                <c:pt idx="449">
                  <c:v>2373.1640000000002</c:v>
                </c:pt>
                <c:pt idx="450">
                  <c:v>2318.4520000000002</c:v>
                </c:pt>
                <c:pt idx="451">
                  <c:v>2267.1570000000002</c:v>
                </c:pt>
                <c:pt idx="452">
                  <c:v>2213.549</c:v>
                </c:pt>
                <c:pt idx="453">
                  <c:v>2146.1640000000002</c:v>
                </c:pt>
                <c:pt idx="454">
                  <c:v>2035.0309999999999</c:v>
                </c:pt>
                <c:pt idx="455">
                  <c:v>1914.327</c:v>
                </c:pt>
                <c:pt idx="456">
                  <c:v>2001.403</c:v>
                </c:pt>
                <c:pt idx="457">
                  <c:v>2411.2339999999999</c:v>
                </c:pt>
                <c:pt idx="458">
                  <c:v>2920.8829999999998</c:v>
                </c:pt>
                <c:pt idx="459">
                  <c:v>3319.8150000000001</c:v>
                </c:pt>
                <c:pt idx="460">
                  <c:v>3577.4229999999998</c:v>
                </c:pt>
                <c:pt idx="461">
                  <c:v>3716.489</c:v>
                </c:pt>
                <c:pt idx="462">
                  <c:v>3794.8760000000002</c:v>
                </c:pt>
                <c:pt idx="463">
                  <c:v>3799.3380000000002</c:v>
                </c:pt>
                <c:pt idx="464">
                  <c:v>3777.0929999999998</c:v>
                </c:pt>
                <c:pt idx="465">
                  <c:v>3744.873</c:v>
                </c:pt>
                <c:pt idx="466">
                  <c:v>3709.7910000000002</c:v>
                </c:pt>
                <c:pt idx="467">
                  <c:v>3665.0749999999998</c:v>
                </c:pt>
                <c:pt idx="468">
                  <c:v>3594.654</c:v>
                </c:pt>
                <c:pt idx="469">
                  <c:v>3511.4349999999999</c:v>
                </c:pt>
                <c:pt idx="470">
                  <c:v>3452.5439999999999</c:v>
                </c:pt>
                <c:pt idx="471">
                  <c:v>3466.47</c:v>
                </c:pt>
                <c:pt idx="472">
                  <c:v>3492.6190000000001</c:v>
                </c:pt>
                <c:pt idx="473">
                  <c:v>3499.0349999999999</c:v>
                </c:pt>
                <c:pt idx="474">
                  <c:v>3526.299</c:v>
                </c:pt>
                <c:pt idx="475">
                  <c:v>3544.123</c:v>
                </c:pt>
                <c:pt idx="476">
                  <c:v>3489.07</c:v>
                </c:pt>
                <c:pt idx="477">
                  <c:v>3448.0650000000001</c:v>
                </c:pt>
                <c:pt idx="478">
                  <c:v>3393.1289999999999</c:v>
                </c:pt>
                <c:pt idx="479">
                  <c:v>3334.4180000000001</c:v>
                </c:pt>
                <c:pt idx="480">
                  <c:v>3310.8359999999998</c:v>
                </c:pt>
                <c:pt idx="481">
                  <c:v>3305.6309999999999</c:v>
                </c:pt>
                <c:pt idx="482">
                  <c:v>3349.4270000000001</c:v>
                </c:pt>
                <c:pt idx="483">
                  <c:v>3419.04</c:v>
                </c:pt>
                <c:pt idx="484">
                  <c:v>3417.5259999999998</c:v>
                </c:pt>
                <c:pt idx="485">
                  <c:v>3375.1959999999999</c:v>
                </c:pt>
                <c:pt idx="486">
                  <c:v>3359.2620000000002</c:v>
                </c:pt>
                <c:pt idx="487">
                  <c:v>3325.1680000000001</c:v>
                </c:pt>
                <c:pt idx="488">
                  <c:v>3293.7669999999998</c:v>
                </c:pt>
                <c:pt idx="489">
                  <c:v>3293.875</c:v>
                </c:pt>
                <c:pt idx="490">
                  <c:v>3332.1089999999999</c:v>
                </c:pt>
                <c:pt idx="491">
                  <c:v>3376.0590000000002</c:v>
                </c:pt>
                <c:pt idx="492">
                  <c:v>3375.2</c:v>
                </c:pt>
                <c:pt idx="493">
                  <c:v>3340.567</c:v>
                </c:pt>
                <c:pt idx="494">
                  <c:v>3288.5610000000001</c:v>
                </c:pt>
                <c:pt idx="495">
                  <c:v>3214.6840000000002</c:v>
                </c:pt>
                <c:pt idx="496">
                  <c:v>3111.4520000000002</c:v>
                </c:pt>
                <c:pt idx="497">
                  <c:v>3042.8159999999998</c:v>
                </c:pt>
                <c:pt idx="498">
                  <c:v>2977.4340000000002</c:v>
                </c:pt>
                <c:pt idx="499">
                  <c:v>2929.9989999999998</c:v>
                </c:pt>
                <c:pt idx="500">
                  <c:v>2875.9879999999998</c:v>
                </c:pt>
                <c:pt idx="501">
                  <c:v>2785.0459999999998</c:v>
                </c:pt>
                <c:pt idx="502">
                  <c:v>2719.1419999999998</c:v>
                </c:pt>
                <c:pt idx="503">
                  <c:v>2708.308</c:v>
                </c:pt>
                <c:pt idx="504">
                  <c:v>2666.6950000000002</c:v>
                </c:pt>
                <c:pt idx="505">
                  <c:v>2575.0129999999999</c:v>
                </c:pt>
                <c:pt idx="506">
                  <c:v>2480.018</c:v>
                </c:pt>
                <c:pt idx="507">
                  <c:v>2393.5070000000001</c:v>
                </c:pt>
                <c:pt idx="508">
                  <c:v>2302.7570000000001</c:v>
                </c:pt>
                <c:pt idx="509">
                  <c:v>2236.7280000000001</c:v>
                </c:pt>
                <c:pt idx="510">
                  <c:v>2131.462</c:v>
                </c:pt>
                <c:pt idx="511">
                  <c:v>2012.6769999999999</c:v>
                </c:pt>
                <c:pt idx="512">
                  <c:v>1918.56</c:v>
                </c:pt>
                <c:pt idx="513">
                  <c:v>1845.7260000000001</c:v>
                </c:pt>
                <c:pt idx="514">
                  <c:v>1820.7460000000001</c:v>
                </c:pt>
                <c:pt idx="515">
                  <c:v>1809.7650000000001</c:v>
                </c:pt>
                <c:pt idx="516">
                  <c:v>1778.577</c:v>
                </c:pt>
                <c:pt idx="517">
                  <c:v>1747.6379999999999</c:v>
                </c:pt>
                <c:pt idx="518">
                  <c:v>1736.327</c:v>
                </c:pt>
                <c:pt idx="519">
                  <c:v>1710.2750000000001</c:v>
                </c:pt>
                <c:pt idx="520">
                  <c:v>1668.72</c:v>
                </c:pt>
                <c:pt idx="521">
                  <c:v>1623.0409999999999</c:v>
                </c:pt>
                <c:pt idx="522">
                  <c:v>1587.941</c:v>
                </c:pt>
                <c:pt idx="523">
                  <c:v>1548.329</c:v>
                </c:pt>
                <c:pt idx="524">
                  <c:v>1501.9110000000001</c:v>
                </c:pt>
                <c:pt idx="525">
                  <c:v>1460.173</c:v>
                </c:pt>
                <c:pt idx="526">
                  <c:v>1426.25</c:v>
                </c:pt>
                <c:pt idx="527">
                  <c:v>1392.847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1410.6089999999999</c:v>
                </c:pt>
                <c:pt idx="541">
                  <c:v>1557.482</c:v>
                </c:pt>
                <c:pt idx="542">
                  <c:v>1659.904</c:v>
                </c:pt>
                <c:pt idx="543">
                  <c:v>1704.5909999999999</c:v>
                </c:pt>
                <c:pt idx="544">
                  <c:v>1749.903</c:v>
                </c:pt>
                <c:pt idx="545">
                  <c:v>1818.779</c:v>
                </c:pt>
                <c:pt idx="546">
                  <c:v>1868.204</c:v>
                </c:pt>
                <c:pt idx="547">
                  <c:v>1918.4010000000001</c:v>
                </c:pt>
                <c:pt idx="548">
                  <c:v>1986.2760000000001</c:v>
                </c:pt>
                <c:pt idx="549">
                  <c:v>2056.2629999999999</c:v>
                </c:pt>
                <c:pt idx="550">
                  <c:v>2129.8130000000001</c:v>
                </c:pt>
                <c:pt idx="551">
                  <c:v>2214.8490000000002</c:v>
                </c:pt>
                <c:pt idx="552">
                  <c:v>2314.3359999999998</c:v>
                </c:pt>
                <c:pt idx="553">
                  <c:v>2418.5</c:v>
                </c:pt>
                <c:pt idx="554">
                  <c:v>2486.7510000000002</c:v>
                </c:pt>
                <c:pt idx="555">
                  <c:v>2513.288</c:v>
                </c:pt>
                <c:pt idx="556">
                  <c:v>2574.027</c:v>
                </c:pt>
                <c:pt idx="557">
                  <c:v>2670.8429999999998</c:v>
                </c:pt>
                <c:pt idx="558">
                  <c:v>2745.1149999999998</c:v>
                </c:pt>
                <c:pt idx="559">
                  <c:v>3028.5010000000002</c:v>
                </c:pt>
                <c:pt idx="560">
                  <c:v>3489.424</c:v>
                </c:pt>
                <c:pt idx="561">
                  <c:v>3753.0770000000002</c:v>
                </c:pt>
                <c:pt idx="562">
                  <c:v>3876.1469999999999</c:v>
                </c:pt>
                <c:pt idx="563">
                  <c:v>3918.6979999999999</c:v>
                </c:pt>
                <c:pt idx="564">
                  <c:v>3889.2620000000002</c:v>
                </c:pt>
                <c:pt idx="565">
                  <c:v>3865.4160000000002</c:v>
                </c:pt>
                <c:pt idx="566">
                  <c:v>3815.8069999999998</c:v>
                </c:pt>
                <c:pt idx="567">
                  <c:v>3745.297</c:v>
                </c:pt>
                <c:pt idx="568">
                  <c:v>3717.7049999999999</c:v>
                </c:pt>
                <c:pt idx="569">
                  <c:v>3726.136</c:v>
                </c:pt>
                <c:pt idx="570">
                  <c:v>3735.9450000000002</c:v>
                </c:pt>
                <c:pt idx="571">
                  <c:v>3728.1120000000001</c:v>
                </c:pt>
                <c:pt idx="572">
                  <c:v>3717.2330000000002</c:v>
                </c:pt>
                <c:pt idx="573">
                  <c:v>3750.268</c:v>
                </c:pt>
                <c:pt idx="574">
                  <c:v>3773.3470000000002</c:v>
                </c:pt>
                <c:pt idx="575">
                  <c:v>3743.096</c:v>
                </c:pt>
                <c:pt idx="576">
                  <c:v>3679.759</c:v>
                </c:pt>
                <c:pt idx="577">
                  <c:v>3611.973</c:v>
                </c:pt>
                <c:pt idx="578">
                  <c:v>3547.8530000000001</c:v>
                </c:pt>
                <c:pt idx="579">
                  <c:v>3481.886</c:v>
                </c:pt>
                <c:pt idx="580">
                  <c:v>3450.5970000000002</c:v>
                </c:pt>
                <c:pt idx="581">
                  <c:v>3412.902</c:v>
                </c:pt>
                <c:pt idx="582">
                  <c:v>3370.183</c:v>
                </c:pt>
                <c:pt idx="583">
                  <c:v>3363.82</c:v>
                </c:pt>
                <c:pt idx="584">
                  <c:v>3346.5619999999999</c:v>
                </c:pt>
                <c:pt idx="585">
                  <c:v>3281.5990000000002</c:v>
                </c:pt>
                <c:pt idx="586">
                  <c:v>3190.8890000000001</c:v>
                </c:pt>
                <c:pt idx="587">
                  <c:v>3121.049</c:v>
                </c:pt>
                <c:pt idx="588">
                  <c:v>3093.5819999999999</c:v>
                </c:pt>
                <c:pt idx="589">
                  <c:v>3073.4430000000002</c:v>
                </c:pt>
                <c:pt idx="590">
                  <c:v>3053.4760000000001</c:v>
                </c:pt>
                <c:pt idx="591">
                  <c:v>3079.6010000000001</c:v>
                </c:pt>
                <c:pt idx="592">
                  <c:v>3116.35</c:v>
                </c:pt>
                <c:pt idx="593">
                  <c:v>3113.9059999999999</c:v>
                </c:pt>
                <c:pt idx="594">
                  <c:v>3082.1280000000002</c:v>
                </c:pt>
                <c:pt idx="595">
                  <c:v>3033.2890000000002</c:v>
                </c:pt>
                <c:pt idx="596">
                  <c:v>2982.3539999999998</c:v>
                </c:pt>
                <c:pt idx="597">
                  <c:v>2972.9389999999999</c:v>
                </c:pt>
                <c:pt idx="598">
                  <c:v>2971.3589999999999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CA-4247-885E-EBA86B4A0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643040479"/>
        <c:axId val="1643038207"/>
      </c:lineChart>
      <c:catAx>
        <c:axId val="16430404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038207"/>
        <c:crosses val="autoZero"/>
        <c:auto val="1"/>
        <c:lblAlgn val="ctr"/>
        <c:lblOffset val="100"/>
        <c:noMultiLvlLbl val="0"/>
      </c:catAx>
      <c:valAx>
        <c:axId val="164303820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040479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3</xdr:row>
      <xdr:rowOff>40680</xdr:rowOff>
    </xdr:from>
    <xdr:to>
      <xdr:col>5</xdr:col>
      <xdr:colOff>317500</xdr:colOff>
      <xdr:row>19</xdr:row>
      <xdr:rowOff>62243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3CEE324-10D0-C943-9B5C-03E361E90B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650280"/>
          <a:ext cx="4394200" cy="3272763"/>
        </a:xfrm>
        <a:prstGeom prst="rect">
          <a:avLst/>
        </a:prstGeom>
      </xdr:spPr>
    </xdr:pic>
    <xdr:clientData/>
  </xdr:twoCellAnchor>
  <xdr:twoCellAnchor editAs="oneCell">
    <xdr:from>
      <xdr:col>5</xdr:col>
      <xdr:colOff>340500</xdr:colOff>
      <xdr:row>3</xdr:row>
      <xdr:rowOff>42791</xdr:rowOff>
    </xdr:from>
    <xdr:to>
      <xdr:col>10</xdr:col>
      <xdr:colOff>508000</xdr:colOff>
      <xdr:row>19</xdr:row>
      <xdr:rowOff>63613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B5AAAF2-260B-0344-945F-EA2E78810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68000" y="652391"/>
          <a:ext cx="4295000" cy="3272022"/>
        </a:xfrm>
        <a:prstGeom prst="rect">
          <a:avLst/>
        </a:prstGeom>
      </xdr:spPr>
    </xdr:pic>
    <xdr:clientData/>
  </xdr:twoCellAnchor>
  <xdr:twoCellAnchor editAs="oneCell">
    <xdr:from>
      <xdr:col>10</xdr:col>
      <xdr:colOff>546100</xdr:colOff>
      <xdr:row>3</xdr:row>
      <xdr:rowOff>42450</xdr:rowOff>
    </xdr:from>
    <xdr:to>
      <xdr:col>15</xdr:col>
      <xdr:colOff>733404</xdr:colOff>
      <xdr:row>19</xdr:row>
      <xdr:rowOff>63500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122086B-15E7-1543-A6F1-DC88D6B07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1100" y="652050"/>
          <a:ext cx="4314804" cy="32722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6</xdr:col>
      <xdr:colOff>38100</xdr:colOff>
      <xdr:row>31</xdr:row>
      <xdr:rowOff>127000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871488E-E28D-5F41-9815-60D27F6CA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67200"/>
          <a:ext cx="4991100" cy="2159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463550</xdr:colOff>
      <xdr:row>1</xdr:row>
      <xdr:rowOff>6350</xdr:rowOff>
    </xdr:from>
    <xdr:to>
      <xdr:col>24</xdr:col>
      <xdr:colOff>69850</xdr:colOff>
      <xdr:row>14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872948B-9436-4044-B5E5-B313B2B4B2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299720</xdr:colOff>
      <xdr:row>1</xdr:row>
      <xdr:rowOff>106680</xdr:rowOff>
    </xdr:from>
    <xdr:to>
      <xdr:col>16</xdr:col>
      <xdr:colOff>756920</xdr:colOff>
      <xdr:row>15</xdr:row>
      <xdr:rowOff>5080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43F47B-B31B-7547-B81D-D1E7C06AF4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6D948-D3F5-8F4E-87AF-22C45F0BCA6F}">
  <sheetPr codeName="Sheet2"/>
  <dimension ref="A1:J33"/>
  <sheetViews>
    <sheetView workbookViewId="0">
      <selection activeCell="H27" sqref="H27"/>
    </sheetView>
  </sheetViews>
  <sheetFormatPr baseColWidth="10" defaultRowHeight="16" x14ac:dyDescent="0.2"/>
  <sheetData>
    <row r="1" spans="1:9" ht="19" x14ac:dyDescent="0.25">
      <c r="A1" s="6"/>
      <c r="B1" s="6"/>
      <c r="C1" s="6"/>
      <c r="D1" s="6"/>
      <c r="E1" s="6"/>
      <c r="F1" s="6"/>
      <c r="G1" s="6"/>
      <c r="H1" s="6"/>
      <c r="I1" s="6"/>
    </row>
    <row r="2" spans="1:9" ht="19" x14ac:dyDescent="0.2">
      <c r="A2" s="29" t="s">
        <v>9</v>
      </c>
      <c r="B2" s="29"/>
      <c r="C2" s="29"/>
      <c r="D2" s="29"/>
      <c r="E2" s="29"/>
      <c r="F2" s="29"/>
      <c r="G2" s="29"/>
      <c r="H2" s="29"/>
      <c r="I2" s="29"/>
    </row>
    <row r="3" spans="1:9" ht="19" x14ac:dyDescent="0.2">
      <c r="A3" s="29" t="s">
        <v>8</v>
      </c>
      <c r="B3" s="29"/>
      <c r="C3" s="29"/>
      <c r="D3" s="29"/>
      <c r="E3" s="29"/>
      <c r="F3" s="29"/>
      <c r="G3" s="29"/>
      <c r="H3" s="29"/>
      <c r="I3" s="29"/>
    </row>
    <row r="4" spans="1:9" x14ac:dyDescent="0.2">
      <c r="A4" s="5"/>
      <c r="B4" s="5"/>
      <c r="C4" s="5"/>
      <c r="D4" s="5"/>
      <c r="E4" s="5"/>
      <c r="F4" s="5"/>
      <c r="G4" s="5"/>
      <c r="H4" s="5"/>
      <c r="I4" s="5"/>
    </row>
    <row r="21" spans="1:10" ht="19" x14ac:dyDescent="0.25">
      <c r="A21" s="30" t="s">
        <v>10</v>
      </c>
      <c r="B21" s="30"/>
      <c r="C21" s="30"/>
      <c r="D21" s="30"/>
      <c r="E21" s="30"/>
      <c r="F21" s="30"/>
      <c r="G21" s="30"/>
      <c r="H21" s="30"/>
      <c r="I21" s="30"/>
      <c r="J21" s="30"/>
    </row>
    <row r="33" spans="1:8" ht="19" x14ac:dyDescent="0.25">
      <c r="A33" s="30" t="s">
        <v>11</v>
      </c>
      <c r="B33" s="30"/>
      <c r="C33" s="30"/>
      <c r="D33" s="30"/>
      <c r="E33" s="30"/>
      <c r="F33" s="30"/>
      <c r="G33" s="30"/>
      <c r="H33" s="30"/>
    </row>
  </sheetData>
  <mergeCells count="4">
    <mergeCell ref="A2:I2"/>
    <mergeCell ref="A3:I3"/>
    <mergeCell ref="A21:J21"/>
    <mergeCell ref="A33:H3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46FBD-039A-DC44-907A-842E6454EC19}">
  <sheetPr codeName="Sheet1"/>
  <dimension ref="A1:AA601"/>
  <sheetViews>
    <sheetView topLeftCell="I1" zoomScale="85" zoomScaleNormal="89" workbookViewId="0">
      <selection activeCell="AA19" sqref="T17:AA19"/>
    </sheetView>
  </sheetViews>
  <sheetFormatPr baseColWidth="10" defaultRowHeight="16" x14ac:dyDescent="0.2"/>
  <cols>
    <col min="1" max="1" width="11" customWidth="1"/>
    <col min="2" max="2" width="5.83203125" customWidth="1"/>
    <col min="3" max="3" width="12.6640625" bestFit="1" customWidth="1"/>
    <col min="4" max="4" width="12.33203125" bestFit="1" customWidth="1"/>
    <col min="5" max="5" width="8" customWidth="1"/>
    <col min="6" max="6" width="8.5" customWidth="1"/>
    <col min="8" max="8" width="13.83203125" bestFit="1" customWidth="1"/>
    <col min="9" max="9" width="15.5" bestFit="1" customWidth="1"/>
    <col min="10" max="10" width="17" bestFit="1" customWidth="1"/>
    <col min="13" max="13" width="15.6640625" bestFit="1" customWidth="1"/>
    <col min="14" max="14" width="11.1640625" bestFit="1" customWidth="1"/>
    <col min="15" max="16" width="6.6640625" customWidth="1"/>
    <col min="24" max="24" width="11.6640625" bestFit="1" customWidth="1"/>
    <col min="25" max="25" width="11.1640625" bestFit="1" customWidth="1"/>
  </cols>
  <sheetData>
    <row r="1" spans="1:19" x14ac:dyDescent="0.2">
      <c r="A1" s="13" t="s">
        <v>29</v>
      </c>
      <c r="B1" t="s">
        <v>30</v>
      </c>
      <c r="C1" s="13" t="s">
        <v>1</v>
      </c>
      <c r="D1" s="13" t="s">
        <v>2</v>
      </c>
      <c r="E1" s="13" t="s">
        <v>3</v>
      </c>
      <c r="F1" s="13" t="s">
        <v>4</v>
      </c>
      <c r="H1" s="4" t="s">
        <v>17</v>
      </c>
      <c r="I1" s="4" t="s">
        <v>18</v>
      </c>
      <c r="J1" s="4" t="s">
        <v>25</v>
      </c>
      <c r="K1" s="7" t="s">
        <v>13</v>
      </c>
      <c r="R1" s="8" t="s">
        <v>26</v>
      </c>
    </row>
    <row r="2" spans="1:19" x14ac:dyDescent="0.2">
      <c r="A2" t="s">
        <v>19</v>
      </c>
      <c r="B2" t="s">
        <v>20</v>
      </c>
      <c r="C2">
        <v>407.69299999999998</v>
      </c>
      <c r="D2" s="2">
        <v>13217800</v>
      </c>
      <c r="E2">
        <v>108</v>
      </c>
      <c r="F2">
        <v>3501.2959999999998</v>
      </c>
      <c r="H2" s="3">
        <f>VBAProject.Module11.AVGBASELINE(F2:F600)</f>
        <v>1150.3488110236219</v>
      </c>
      <c r="I2" s="3">
        <f>VBAProject.Module11.AVGPEAK(F2:F600)</f>
        <v>3635.298540254239</v>
      </c>
      <c r="J2" s="3">
        <f>AVERAGE(F2:F600)</f>
        <v>3108.439415692822</v>
      </c>
      <c r="K2">
        <f>IF(F2&gt;($H$4+$H$4*(0.3+ABS($I$12))), F2, "BASELINE")</f>
        <v>3501.2959999999998</v>
      </c>
      <c r="R2">
        <f>F2/$H$2</f>
        <v>3.0436820262233506</v>
      </c>
      <c r="S2" s="1"/>
    </row>
    <row r="3" spans="1:19" x14ac:dyDescent="0.2">
      <c r="A3" t="s">
        <v>19</v>
      </c>
      <c r="B3" t="s">
        <v>20</v>
      </c>
      <c r="C3">
        <v>405.37799999999999</v>
      </c>
      <c r="D3" s="2">
        <v>13142700</v>
      </c>
      <c r="E3">
        <v>117</v>
      </c>
      <c r="F3">
        <v>2916.9450000000002</v>
      </c>
      <c r="H3" s="4" t="s">
        <v>14</v>
      </c>
      <c r="I3" s="4" t="s">
        <v>16</v>
      </c>
      <c r="K3">
        <f t="shared" ref="K3:K66" si="0">IF(F3&gt;($H$4+$H$4*(0.3+ABS($I$12))), F3, "BASELINE")</f>
        <v>2916.9450000000002</v>
      </c>
      <c r="R3">
        <f t="shared" ref="R3:R65" si="1">F3/$H$2</f>
        <v>2.5357047984466532</v>
      </c>
      <c r="S3" s="1"/>
    </row>
    <row r="4" spans="1:19" x14ac:dyDescent="0.2">
      <c r="A4" t="s">
        <v>19</v>
      </c>
      <c r="B4" t="s">
        <v>20</v>
      </c>
      <c r="C4">
        <v>403.63600000000002</v>
      </c>
      <c r="D4" s="2">
        <v>13086300</v>
      </c>
      <c r="E4">
        <v>117</v>
      </c>
      <c r="F4">
        <v>2612.9160000000002</v>
      </c>
      <c r="H4" s="3">
        <f>MIN(F2:F600)</f>
        <v>1002.97</v>
      </c>
      <c r="I4" s="3">
        <f>MAX(F2:F600)</f>
        <v>8642.1579999999994</v>
      </c>
      <c r="K4">
        <f t="shared" si="0"/>
        <v>2612.9160000000002</v>
      </c>
      <c r="R4">
        <f t="shared" si="1"/>
        <v>2.2714119186813719</v>
      </c>
      <c r="S4" s="1"/>
    </row>
    <row r="5" spans="1:19" x14ac:dyDescent="0.2">
      <c r="A5" t="s">
        <v>19</v>
      </c>
      <c r="B5" t="s">
        <v>20</v>
      </c>
      <c r="C5">
        <v>404.18599999999998</v>
      </c>
      <c r="D5" s="2">
        <v>13104100</v>
      </c>
      <c r="E5">
        <v>120</v>
      </c>
      <c r="F5">
        <v>2421.8670000000002</v>
      </c>
      <c r="K5">
        <f t="shared" si="0"/>
        <v>2421.8670000000002</v>
      </c>
      <c r="R5">
        <f t="shared" si="1"/>
        <v>2.1053327275967151</v>
      </c>
      <c r="S5" s="1"/>
    </row>
    <row r="6" spans="1:19" x14ac:dyDescent="0.2">
      <c r="A6" t="s">
        <v>19</v>
      </c>
      <c r="B6" t="s">
        <v>20</v>
      </c>
      <c r="C6">
        <v>402.39400000000001</v>
      </c>
      <c r="D6" s="2">
        <v>13046000</v>
      </c>
      <c r="E6">
        <v>118</v>
      </c>
      <c r="F6">
        <v>2232.8090000000002</v>
      </c>
      <c r="K6">
        <f t="shared" si="0"/>
        <v>2232.8090000000002</v>
      </c>
      <c r="R6">
        <f t="shared" si="1"/>
        <v>1.940984315890383</v>
      </c>
      <c r="S6" s="1"/>
    </row>
    <row r="7" spans="1:19" x14ac:dyDescent="0.2">
      <c r="A7" t="s">
        <v>19</v>
      </c>
      <c r="B7" t="s">
        <v>20</v>
      </c>
      <c r="C7">
        <v>401.29399999999998</v>
      </c>
      <c r="D7" s="2">
        <v>13010300</v>
      </c>
      <c r="E7">
        <v>124</v>
      </c>
      <c r="F7">
        <v>2091.12</v>
      </c>
      <c r="K7">
        <f t="shared" si="0"/>
        <v>2091.12</v>
      </c>
      <c r="R7">
        <f t="shared" si="1"/>
        <v>1.8178138491222031</v>
      </c>
      <c r="S7" s="1"/>
    </row>
    <row r="8" spans="1:19" x14ac:dyDescent="0.2">
      <c r="A8" t="s">
        <v>19</v>
      </c>
      <c r="B8" t="s">
        <v>20</v>
      </c>
      <c r="C8">
        <v>400.517</v>
      </c>
      <c r="D8" s="2">
        <v>12985100</v>
      </c>
      <c r="E8">
        <v>121</v>
      </c>
      <c r="F8">
        <v>1952.8150000000001</v>
      </c>
      <c r="K8">
        <f t="shared" si="0"/>
        <v>1952.8150000000001</v>
      </c>
      <c r="R8">
        <f t="shared" si="1"/>
        <v>1.6975850987860932</v>
      </c>
      <c r="S8" s="1"/>
    </row>
    <row r="9" spans="1:19" x14ac:dyDescent="0.2">
      <c r="A9" t="s">
        <v>19</v>
      </c>
      <c r="B9" t="s">
        <v>20</v>
      </c>
      <c r="C9">
        <v>397.73899999999998</v>
      </c>
      <c r="D9" s="2">
        <v>12895100</v>
      </c>
      <c r="E9">
        <v>101</v>
      </c>
      <c r="F9">
        <v>1848.5</v>
      </c>
      <c r="H9" s="31" t="s">
        <v>21</v>
      </c>
      <c r="I9" s="31"/>
      <c r="K9">
        <f t="shared" si="0"/>
        <v>1848.5</v>
      </c>
      <c r="R9">
        <f t="shared" si="1"/>
        <v>1.606903908002598</v>
      </c>
      <c r="S9" s="1"/>
    </row>
    <row r="10" spans="1:19" x14ac:dyDescent="0.2">
      <c r="A10" t="s">
        <v>19</v>
      </c>
      <c r="B10" t="s">
        <v>20</v>
      </c>
      <c r="C10">
        <v>399.11799999999999</v>
      </c>
      <c r="D10" s="2">
        <v>12939800</v>
      </c>
      <c r="E10">
        <v>121</v>
      </c>
      <c r="F10">
        <v>1732.893</v>
      </c>
      <c r="H10" s="14" t="s">
        <v>23</v>
      </c>
      <c r="I10" s="14" t="s">
        <v>22</v>
      </c>
      <c r="K10">
        <f t="shared" si="0"/>
        <v>1732.893</v>
      </c>
      <c r="R10">
        <f t="shared" si="1"/>
        <v>1.506406564160317</v>
      </c>
      <c r="S10" s="1"/>
    </row>
    <row r="11" spans="1:19" x14ac:dyDescent="0.2">
      <c r="A11" t="s">
        <v>19</v>
      </c>
      <c r="B11" t="s">
        <v>20</v>
      </c>
      <c r="C11">
        <v>399.71899999999999</v>
      </c>
      <c r="D11" s="2">
        <v>12959300</v>
      </c>
      <c r="E11">
        <v>122</v>
      </c>
      <c r="F11">
        <v>1653.4159999999999</v>
      </c>
      <c r="H11" s="12">
        <f>MIN(F2:F300)</f>
        <v>1059.25</v>
      </c>
      <c r="I11" s="12">
        <f>MIN(F301:F600)</f>
        <v>1002.97</v>
      </c>
      <c r="K11">
        <f t="shared" si="0"/>
        <v>1653.4159999999999</v>
      </c>
      <c r="R11">
        <f t="shared" si="1"/>
        <v>1.4373170851793471</v>
      </c>
      <c r="S11" s="1"/>
    </row>
    <row r="12" spans="1:19" x14ac:dyDescent="0.2">
      <c r="A12" t="s">
        <v>19</v>
      </c>
      <c r="B12" t="s">
        <v>20</v>
      </c>
      <c r="C12">
        <v>399.69900000000001</v>
      </c>
      <c r="D12" s="2">
        <v>12958700</v>
      </c>
      <c r="E12">
        <v>124</v>
      </c>
      <c r="F12">
        <v>1588.1659999999999</v>
      </c>
      <c r="H12" s="14" t="s">
        <v>24</v>
      </c>
      <c r="I12" s="12">
        <f>(H11-I11)/H11</f>
        <v>5.3131932971442031E-2</v>
      </c>
      <c r="K12">
        <f t="shared" si="0"/>
        <v>1588.1659999999999</v>
      </c>
      <c r="R12">
        <f t="shared" si="1"/>
        <v>1.380595159295025</v>
      </c>
      <c r="S12" s="1"/>
    </row>
    <row r="13" spans="1:19" x14ac:dyDescent="0.2">
      <c r="A13" t="s">
        <v>19</v>
      </c>
      <c r="B13" t="s">
        <v>20</v>
      </c>
      <c r="C13">
        <v>403.60700000000003</v>
      </c>
      <c r="D13" s="2">
        <v>13085400</v>
      </c>
      <c r="E13">
        <v>122</v>
      </c>
      <c r="F13">
        <v>1552.77</v>
      </c>
      <c r="K13">
        <f t="shared" si="0"/>
        <v>1552.77</v>
      </c>
      <c r="R13">
        <f t="shared" si="1"/>
        <v>1.3498253617685658</v>
      </c>
      <c r="S13" s="1"/>
    </row>
    <row r="14" spans="1:19" x14ac:dyDescent="0.2">
      <c r="A14" t="s">
        <v>19</v>
      </c>
      <c r="B14" t="s">
        <v>20</v>
      </c>
      <c r="C14">
        <v>401.036</v>
      </c>
      <c r="D14" s="2">
        <v>13002000</v>
      </c>
      <c r="E14">
        <v>116</v>
      </c>
      <c r="F14">
        <v>1498.9680000000001</v>
      </c>
      <c r="K14">
        <f t="shared" si="0"/>
        <v>1498.9680000000001</v>
      </c>
      <c r="R14">
        <f t="shared" si="1"/>
        <v>1.3030551999842241</v>
      </c>
      <c r="S14" s="1"/>
    </row>
    <row r="15" spans="1:19" x14ac:dyDescent="0.2">
      <c r="A15" t="s">
        <v>19</v>
      </c>
      <c r="B15" t="s">
        <v>20</v>
      </c>
      <c r="C15">
        <v>398.02199999999999</v>
      </c>
      <c r="D15" s="2">
        <v>12904300</v>
      </c>
      <c r="E15">
        <v>116</v>
      </c>
      <c r="F15">
        <v>1469.701</v>
      </c>
      <c r="K15">
        <f t="shared" si="0"/>
        <v>1469.701</v>
      </c>
      <c r="R15">
        <f t="shared" si="1"/>
        <v>1.2776133516339336</v>
      </c>
      <c r="S15" s="1"/>
    </row>
    <row r="16" spans="1:19" x14ac:dyDescent="0.2">
      <c r="A16" t="s">
        <v>19</v>
      </c>
      <c r="B16" t="s">
        <v>20</v>
      </c>
      <c r="C16">
        <v>398.976</v>
      </c>
      <c r="D16" s="2">
        <v>12935200</v>
      </c>
      <c r="E16">
        <v>117</v>
      </c>
      <c r="F16">
        <v>1404.7170000000001</v>
      </c>
      <c r="K16">
        <f t="shared" si="0"/>
        <v>1404.7170000000001</v>
      </c>
      <c r="R16">
        <f t="shared" si="1"/>
        <v>1.2211226599608793</v>
      </c>
      <c r="S16" s="1"/>
    </row>
    <row r="17" spans="1:27" x14ac:dyDescent="0.2">
      <c r="A17" t="s">
        <v>19</v>
      </c>
      <c r="B17" t="s">
        <v>20</v>
      </c>
      <c r="C17">
        <v>399.45699999999999</v>
      </c>
      <c r="D17" s="2">
        <v>12950800</v>
      </c>
      <c r="E17">
        <v>113</v>
      </c>
      <c r="F17">
        <v>1382.712</v>
      </c>
      <c r="K17">
        <f t="shared" si="0"/>
        <v>1382.712</v>
      </c>
      <c r="M17" s="4" t="s">
        <v>12</v>
      </c>
      <c r="N17" s="3">
        <f>SUM(K2:K600)*N18</f>
        <v>791215317.20000029</v>
      </c>
      <c r="R17">
        <f t="shared" si="1"/>
        <v>1.2019936794385113</v>
      </c>
      <c r="S17" s="1"/>
      <c r="T17" s="3"/>
      <c r="U17" s="4" t="s">
        <v>6</v>
      </c>
      <c r="V17" s="4" t="s">
        <v>7</v>
      </c>
      <c r="W17" s="15" t="s">
        <v>27</v>
      </c>
      <c r="X17" s="14" t="s">
        <v>31</v>
      </c>
      <c r="Y17" s="17" t="s">
        <v>15</v>
      </c>
      <c r="Z17" s="14" t="s">
        <v>17</v>
      </c>
      <c r="AA17" s="14" t="s">
        <v>52</v>
      </c>
    </row>
    <row r="18" spans="1:27" x14ac:dyDescent="0.2">
      <c r="A18" t="s">
        <v>19</v>
      </c>
      <c r="B18" t="s">
        <v>20</v>
      </c>
      <c r="C18">
        <v>396.892</v>
      </c>
      <c r="D18" s="2">
        <v>12867600</v>
      </c>
      <c r="E18">
        <v>118</v>
      </c>
      <c r="F18">
        <v>1410.65</v>
      </c>
      <c r="K18">
        <f t="shared" si="0"/>
        <v>1410.65</v>
      </c>
      <c r="M18" s="4" t="s">
        <v>28</v>
      </c>
      <c r="N18" s="3">
        <f>COUNT(K2:K600)</f>
        <v>464</v>
      </c>
      <c r="R18">
        <f t="shared" si="1"/>
        <v>1.2262802260340087</v>
      </c>
      <c r="S18" s="1"/>
      <c r="T18" s="4" t="s">
        <v>5</v>
      </c>
      <c r="U18" s="3">
        <f>VBAProject.Module11.AVGBASELINE(R2:R600)</f>
        <v>1.0000000000000004</v>
      </c>
      <c r="V18" s="3">
        <f>VBAProject.Module11.AVGPEAK(R2:R600)</f>
        <v>3.1601706416503546</v>
      </c>
      <c r="W18" s="16">
        <f>V18-U18</f>
        <v>2.1601706416503541</v>
      </c>
      <c r="X18" s="12">
        <f>N19</f>
        <v>1708165.6220000004</v>
      </c>
      <c r="Y18" s="18">
        <f>SUM(K2:K600)*N18</f>
        <v>791215317.20000029</v>
      </c>
      <c r="Z18" s="12">
        <f>H2</f>
        <v>1150.3488110236219</v>
      </c>
      <c r="AA18" s="12">
        <f>X18/Z18</f>
        <v>1484.9110162334266</v>
      </c>
    </row>
    <row r="19" spans="1:27" x14ac:dyDescent="0.2">
      <c r="A19" t="s">
        <v>19</v>
      </c>
      <c r="B19" t="s">
        <v>20</v>
      </c>
      <c r="C19">
        <v>392.99599999999998</v>
      </c>
      <c r="D19" s="2">
        <v>12741300</v>
      </c>
      <c r="E19">
        <v>116</v>
      </c>
      <c r="F19">
        <v>1381.346</v>
      </c>
      <c r="K19">
        <f t="shared" si="0"/>
        <v>1381.346</v>
      </c>
      <c r="M19" s="4" t="s">
        <v>31</v>
      </c>
      <c r="N19" s="3">
        <f>SUM(K2:K601)</f>
        <v>1708165.6220000004</v>
      </c>
      <c r="R19">
        <f t="shared" si="1"/>
        <v>1.2008062135265116</v>
      </c>
      <c r="S19" s="1"/>
      <c r="T19" s="4" t="s">
        <v>0</v>
      </c>
      <c r="U19" s="3">
        <f>VBAProject.Module11.NUMBASELINE(R3:R600)</f>
        <v>127</v>
      </c>
      <c r="V19" s="3">
        <f>VBAProject.Module11.NUMPEAK(R2:R600)</f>
        <v>472</v>
      </c>
      <c r="W19" s="16">
        <f>V19+U19</f>
        <v>599</v>
      </c>
      <c r="X19" s="12">
        <f>N18</f>
        <v>464</v>
      </c>
      <c r="Y19" s="18">
        <f>COUNT(K2:K600)</f>
        <v>464</v>
      </c>
      <c r="Z19" s="12"/>
      <c r="AA19" s="12"/>
    </row>
    <row r="20" spans="1:27" x14ac:dyDescent="0.2">
      <c r="A20" t="s">
        <v>19</v>
      </c>
      <c r="B20" t="s">
        <v>20</v>
      </c>
      <c r="C20">
        <v>398.59399999999999</v>
      </c>
      <c r="D20" s="2">
        <v>12922800</v>
      </c>
      <c r="E20">
        <v>115</v>
      </c>
      <c r="F20">
        <v>1349.579</v>
      </c>
      <c r="K20" t="str">
        <f t="shared" si="0"/>
        <v>BASELINE</v>
      </c>
      <c r="R20">
        <f t="shared" si="1"/>
        <v>1.1731911113109212</v>
      </c>
      <c r="S20" s="1"/>
    </row>
    <row r="21" spans="1:27" x14ac:dyDescent="0.2">
      <c r="A21" t="s">
        <v>19</v>
      </c>
      <c r="B21" t="s">
        <v>20</v>
      </c>
      <c r="C21">
        <v>397.15100000000001</v>
      </c>
      <c r="D21" s="2">
        <v>12876000</v>
      </c>
      <c r="E21">
        <v>122</v>
      </c>
      <c r="F21">
        <v>1361.4770000000001</v>
      </c>
      <c r="K21">
        <f t="shared" si="0"/>
        <v>1361.4770000000001</v>
      </c>
      <c r="R21">
        <f t="shared" si="1"/>
        <v>1.1835340611066558</v>
      </c>
      <c r="S21" s="1"/>
      <c r="T21" s="9"/>
      <c r="U21" s="10"/>
      <c r="V21" s="10"/>
      <c r="W21" s="10"/>
      <c r="X21" s="10"/>
    </row>
    <row r="22" spans="1:27" x14ac:dyDescent="0.2">
      <c r="A22" t="s">
        <v>19</v>
      </c>
      <c r="B22" t="s">
        <v>20</v>
      </c>
      <c r="C22">
        <v>399.22699999999998</v>
      </c>
      <c r="D22" s="2">
        <v>12943300</v>
      </c>
      <c r="E22">
        <v>115</v>
      </c>
      <c r="F22">
        <v>1340.6590000000001</v>
      </c>
      <c r="K22" t="str">
        <f t="shared" si="0"/>
        <v>BASELINE</v>
      </c>
      <c r="R22">
        <f t="shared" si="1"/>
        <v>1.165436941519532</v>
      </c>
      <c r="S22" s="1"/>
      <c r="T22" s="10"/>
      <c r="U22" s="9"/>
      <c r="V22" s="9"/>
      <c r="W22" s="9"/>
      <c r="X22" s="11"/>
    </row>
    <row r="23" spans="1:27" x14ac:dyDescent="0.2">
      <c r="A23" t="s">
        <v>19</v>
      </c>
      <c r="B23" t="s">
        <v>20</v>
      </c>
      <c r="C23">
        <v>396.32299999999998</v>
      </c>
      <c r="D23" s="2">
        <v>12849200</v>
      </c>
      <c r="E23">
        <v>112</v>
      </c>
      <c r="F23">
        <v>1340.021</v>
      </c>
      <c r="K23" t="str">
        <f t="shared" si="0"/>
        <v>BASELINE</v>
      </c>
      <c r="R23">
        <f t="shared" si="1"/>
        <v>1.1648823271331075</v>
      </c>
      <c r="S23" s="1"/>
      <c r="T23" s="10"/>
      <c r="U23" s="9"/>
      <c r="V23" s="9"/>
      <c r="W23" s="9"/>
      <c r="X23" s="11"/>
    </row>
    <row r="24" spans="1:27" x14ac:dyDescent="0.2">
      <c r="A24" t="s">
        <v>19</v>
      </c>
      <c r="B24" t="s">
        <v>20</v>
      </c>
      <c r="C24">
        <v>393.23599999999999</v>
      </c>
      <c r="D24" s="2">
        <v>12749100</v>
      </c>
      <c r="E24">
        <v>118</v>
      </c>
      <c r="F24">
        <v>1330.376</v>
      </c>
      <c r="K24" t="str">
        <f t="shared" si="0"/>
        <v>BASELINE</v>
      </c>
      <c r="R24">
        <f t="shared" si="1"/>
        <v>1.1564979137207811</v>
      </c>
      <c r="S24" s="1"/>
    </row>
    <row r="25" spans="1:27" x14ac:dyDescent="0.2">
      <c r="A25" t="s">
        <v>19</v>
      </c>
      <c r="B25" t="s">
        <v>20</v>
      </c>
      <c r="C25">
        <v>392.69799999999998</v>
      </c>
      <c r="D25" s="2">
        <v>12731600</v>
      </c>
      <c r="E25">
        <v>114</v>
      </c>
      <c r="F25">
        <v>1324.318</v>
      </c>
      <c r="K25" t="str">
        <f t="shared" si="0"/>
        <v>BASELINE</v>
      </c>
      <c r="R25">
        <f t="shared" si="1"/>
        <v>1.1512316849543871</v>
      </c>
      <c r="S25" s="1"/>
    </row>
    <row r="26" spans="1:27" x14ac:dyDescent="0.2">
      <c r="A26" t="s">
        <v>19</v>
      </c>
      <c r="B26" t="s">
        <v>20</v>
      </c>
      <c r="C26">
        <v>395.08800000000002</v>
      </c>
      <c r="D26" s="2">
        <v>12809100</v>
      </c>
      <c r="E26">
        <v>111</v>
      </c>
      <c r="F26">
        <v>1303.9690000000001</v>
      </c>
      <c r="K26" t="str">
        <f t="shared" si="0"/>
        <v>BASELINE</v>
      </c>
      <c r="R26">
        <f t="shared" si="1"/>
        <v>1.1335422677923936</v>
      </c>
      <c r="S26" s="1"/>
    </row>
    <row r="27" spans="1:27" x14ac:dyDescent="0.2">
      <c r="A27" t="s">
        <v>19</v>
      </c>
      <c r="B27" t="s">
        <v>20</v>
      </c>
      <c r="C27">
        <v>391.81599999999997</v>
      </c>
      <c r="D27" s="2">
        <v>12703100</v>
      </c>
      <c r="E27">
        <v>113</v>
      </c>
      <c r="F27">
        <v>1299.8789999999999</v>
      </c>
      <c r="K27" t="str">
        <f t="shared" si="0"/>
        <v>BASELINE</v>
      </c>
      <c r="R27">
        <f t="shared" si="1"/>
        <v>1.1299868244687632</v>
      </c>
      <c r="S27" s="1"/>
    </row>
    <row r="28" spans="1:27" x14ac:dyDescent="0.2">
      <c r="A28" t="s">
        <v>19</v>
      </c>
      <c r="B28" t="s">
        <v>20</v>
      </c>
      <c r="C28">
        <v>389.09</v>
      </c>
      <c r="D28" s="2">
        <v>12614700</v>
      </c>
      <c r="E28">
        <v>117</v>
      </c>
      <c r="F28">
        <v>1287.107</v>
      </c>
      <c r="K28" t="str">
        <f t="shared" si="0"/>
        <v>BASELINE</v>
      </c>
      <c r="R28">
        <f t="shared" si="1"/>
        <v>1.1188841051217202</v>
      </c>
      <c r="S28" s="1"/>
    </row>
    <row r="29" spans="1:27" x14ac:dyDescent="0.2">
      <c r="A29" t="s">
        <v>19</v>
      </c>
      <c r="B29" t="s">
        <v>20</v>
      </c>
      <c r="C29">
        <v>388.83</v>
      </c>
      <c r="D29" s="2">
        <v>12606300</v>
      </c>
      <c r="E29">
        <v>114</v>
      </c>
      <c r="F29">
        <v>1281.1880000000001</v>
      </c>
      <c r="K29" t="str">
        <f t="shared" si="0"/>
        <v>BASELINE</v>
      </c>
      <c r="R29">
        <f t="shared" si="1"/>
        <v>1.1137387092702367</v>
      </c>
      <c r="S29" s="1"/>
    </row>
    <row r="30" spans="1:27" x14ac:dyDescent="0.2">
      <c r="A30" t="s">
        <v>19</v>
      </c>
      <c r="B30" t="s">
        <v>20</v>
      </c>
      <c r="C30">
        <v>390.44799999999998</v>
      </c>
      <c r="D30" s="2">
        <v>12658700</v>
      </c>
      <c r="E30">
        <v>120</v>
      </c>
      <c r="F30">
        <v>1259.5360000000001</v>
      </c>
      <c r="K30" t="str">
        <f t="shared" si="0"/>
        <v>BASELINE</v>
      </c>
      <c r="R30">
        <f t="shared" si="1"/>
        <v>1.094916592193649</v>
      </c>
      <c r="S30" s="1"/>
    </row>
    <row r="31" spans="1:27" x14ac:dyDescent="0.2">
      <c r="A31" t="s">
        <v>19</v>
      </c>
      <c r="B31" t="s">
        <v>20</v>
      </c>
      <c r="C31">
        <v>387.81700000000001</v>
      </c>
      <c r="D31" s="2">
        <v>12573400</v>
      </c>
      <c r="E31">
        <v>126</v>
      </c>
      <c r="F31">
        <v>1251.001</v>
      </c>
      <c r="K31" t="str">
        <f t="shared" si="0"/>
        <v>BASELINE</v>
      </c>
      <c r="R31">
        <f t="shared" si="1"/>
        <v>1.0874971034975158</v>
      </c>
      <c r="S31" s="1"/>
    </row>
    <row r="32" spans="1:27" x14ac:dyDescent="0.2">
      <c r="A32" t="s">
        <v>19</v>
      </c>
      <c r="B32" t="s">
        <v>20</v>
      </c>
      <c r="C32">
        <v>387.83699999999999</v>
      </c>
      <c r="D32" s="2">
        <v>12574100</v>
      </c>
      <c r="E32">
        <v>119</v>
      </c>
      <c r="F32">
        <v>1259.336</v>
      </c>
      <c r="K32" t="str">
        <f t="shared" si="0"/>
        <v>BASELINE</v>
      </c>
      <c r="R32">
        <f t="shared" si="1"/>
        <v>1.0947427318844249</v>
      </c>
      <c r="S32" s="1"/>
    </row>
    <row r="33" spans="1:19" x14ac:dyDescent="0.2">
      <c r="A33" t="s">
        <v>19</v>
      </c>
      <c r="B33" t="s">
        <v>20</v>
      </c>
      <c r="C33">
        <v>387.59300000000002</v>
      </c>
      <c r="D33" s="2">
        <v>12566200</v>
      </c>
      <c r="E33">
        <v>116</v>
      </c>
      <c r="F33">
        <v>1252.569</v>
      </c>
      <c r="K33" t="str">
        <f t="shared" si="0"/>
        <v>BASELINE</v>
      </c>
      <c r="R33">
        <f t="shared" si="1"/>
        <v>1.0888601683218317</v>
      </c>
      <c r="S33" s="1"/>
    </row>
    <row r="34" spans="1:19" x14ac:dyDescent="0.2">
      <c r="A34" t="s">
        <v>19</v>
      </c>
      <c r="B34" t="s">
        <v>20</v>
      </c>
      <c r="C34">
        <v>383.73700000000002</v>
      </c>
      <c r="D34" s="2">
        <v>12441100</v>
      </c>
      <c r="E34">
        <v>115</v>
      </c>
      <c r="F34">
        <v>1244.1880000000001</v>
      </c>
      <c r="K34" t="str">
        <f t="shared" si="0"/>
        <v>BASELINE</v>
      </c>
      <c r="R34">
        <f t="shared" si="1"/>
        <v>1.0815745520638012</v>
      </c>
      <c r="S34" s="1"/>
    </row>
    <row r="35" spans="1:19" x14ac:dyDescent="0.2">
      <c r="A35" t="s">
        <v>19</v>
      </c>
      <c r="B35" t="s">
        <v>20</v>
      </c>
      <c r="C35">
        <v>383.01799999999997</v>
      </c>
      <c r="D35" s="2">
        <v>12417800</v>
      </c>
      <c r="E35">
        <v>119</v>
      </c>
      <c r="F35">
        <v>1244.8209999999999</v>
      </c>
      <c r="K35" t="str">
        <f t="shared" si="0"/>
        <v>BASELINE</v>
      </c>
      <c r="R35">
        <f t="shared" si="1"/>
        <v>1.0821248199424949</v>
      </c>
      <c r="S35" s="1"/>
    </row>
    <row r="36" spans="1:19" x14ac:dyDescent="0.2">
      <c r="A36" t="s">
        <v>19</v>
      </c>
      <c r="B36" t="s">
        <v>20</v>
      </c>
      <c r="C36">
        <v>382.95499999999998</v>
      </c>
      <c r="D36" s="2">
        <v>12415800</v>
      </c>
      <c r="E36">
        <v>114</v>
      </c>
      <c r="F36">
        <v>1221.1590000000001</v>
      </c>
      <c r="K36" t="str">
        <f t="shared" si="0"/>
        <v>BASELINE</v>
      </c>
      <c r="R36">
        <f t="shared" si="1"/>
        <v>1.0615554067582065</v>
      </c>
      <c r="S36" s="1"/>
    </row>
    <row r="37" spans="1:19" x14ac:dyDescent="0.2">
      <c r="A37" t="s">
        <v>19</v>
      </c>
      <c r="B37" t="s">
        <v>20</v>
      </c>
      <c r="C37">
        <v>385.15899999999999</v>
      </c>
      <c r="D37" s="2">
        <v>12487200</v>
      </c>
      <c r="E37">
        <v>105</v>
      </c>
      <c r="F37">
        <v>1227.115</v>
      </c>
      <c r="K37" t="str">
        <f t="shared" si="0"/>
        <v>BASELINE</v>
      </c>
      <c r="R37">
        <f t="shared" si="1"/>
        <v>1.0667329667668963</v>
      </c>
      <c r="S37" s="1"/>
    </row>
    <row r="38" spans="1:19" x14ac:dyDescent="0.2">
      <c r="A38" t="s">
        <v>19</v>
      </c>
      <c r="B38" t="s">
        <v>20</v>
      </c>
      <c r="C38">
        <v>381.08199999999999</v>
      </c>
      <c r="D38" s="2">
        <v>12355100</v>
      </c>
      <c r="E38">
        <v>121</v>
      </c>
      <c r="F38">
        <v>1230.18</v>
      </c>
      <c r="K38" t="str">
        <f t="shared" si="0"/>
        <v>BASELINE</v>
      </c>
      <c r="R38">
        <f t="shared" si="1"/>
        <v>1.0693973760057538</v>
      </c>
      <c r="S38" s="1"/>
    </row>
    <row r="39" spans="1:19" x14ac:dyDescent="0.2">
      <c r="A39" t="s">
        <v>19</v>
      </c>
      <c r="B39" t="s">
        <v>20</v>
      </c>
      <c r="C39">
        <v>381.858</v>
      </c>
      <c r="D39" s="2">
        <v>12380200</v>
      </c>
      <c r="E39">
        <v>117</v>
      </c>
      <c r="F39">
        <v>1223.0889999999999</v>
      </c>
      <c r="K39" t="str">
        <f t="shared" si="0"/>
        <v>BASELINE</v>
      </c>
      <c r="R39">
        <f t="shared" si="1"/>
        <v>1.0632331587422177</v>
      </c>
      <c r="S39" s="1"/>
    </row>
    <row r="40" spans="1:19" x14ac:dyDescent="0.2">
      <c r="A40" t="s">
        <v>19</v>
      </c>
      <c r="B40" t="s">
        <v>20</v>
      </c>
      <c r="C40">
        <v>388.096</v>
      </c>
      <c r="D40" s="2">
        <v>12582500</v>
      </c>
      <c r="E40">
        <v>127</v>
      </c>
      <c r="F40">
        <v>1229.1110000000001</v>
      </c>
      <c r="K40" t="str">
        <f t="shared" si="0"/>
        <v>BASELINE</v>
      </c>
      <c r="R40">
        <f t="shared" si="1"/>
        <v>1.0684680926529517</v>
      </c>
      <c r="S40" s="1"/>
    </row>
    <row r="41" spans="1:19" x14ac:dyDescent="0.2">
      <c r="A41" t="s">
        <v>19</v>
      </c>
      <c r="B41" t="s">
        <v>20</v>
      </c>
      <c r="C41">
        <v>387.03300000000002</v>
      </c>
      <c r="D41" s="2">
        <v>12548000</v>
      </c>
      <c r="E41">
        <v>119</v>
      </c>
      <c r="F41">
        <v>1209.165</v>
      </c>
      <c r="K41" t="str">
        <f t="shared" si="0"/>
        <v>BASELINE</v>
      </c>
      <c r="R41">
        <f t="shared" si="1"/>
        <v>1.0511290040140444</v>
      </c>
      <c r="S41" s="1"/>
    </row>
    <row r="42" spans="1:19" x14ac:dyDescent="0.2">
      <c r="A42" t="s">
        <v>19</v>
      </c>
      <c r="B42" t="s">
        <v>20</v>
      </c>
      <c r="C42">
        <v>381.71100000000001</v>
      </c>
      <c r="D42" s="2">
        <v>12375400</v>
      </c>
      <c r="E42">
        <v>116</v>
      </c>
      <c r="F42">
        <v>1210.3900000000001</v>
      </c>
      <c r="K42" t="str">
        <f t="shared" si="0"/>
        <v>BASELINE</v>
      </c>
      <c r="R42">
        <f t="shared" si="1"/>
        <v>1.0521938984080415</v>
      </c>
      <c r="S42" s="1"/>
    </row>
    <row r="43" spans="1:19" x14ac:dyDescent="0.2">
      <c r="A43" t="s">
        <v>19</v>
      </c>
      <c r="B43" t="s">
        <v>20</v>
      </c>
      <c r="C43">
        <v>383.46699999999998</v>
      </c>
      <c r="D43" s="2">
        <v>12432400</v>
      </c>
      <c r="E43">
        <v>123</v>
      </c>
      <c r="F43">
        <v>1210.9390000000001</v>
      </c>
      <c r="K43" t="str">
        <f t="shared" si="0"/>
        <v>BASELINE</v>
      </c>
      <c r="R43">
        <f t="shared" si="1"/>
        <v>1.0526711449568613</v>
      </c>
      <c r="S43" s="1"/>
    </row>
    <row r="44" spans="1:19" x14ac:dyDescent="0.2">
      <c r="A44" t="s">
        <v>19</v>
      </c>
      <c r="B44" t="s">
        <v>20</v>
      </c>
      <c r="C44">
        <v>384.64800000000002</v>
      </c>
      <c r="D44" s="2">
        <v>12470700</v>
      </c>
      <c r="E44">
        <v>113</v>
      </c>
      <c r="F44">
        <v>1223.796</v>
      </c>
      <c r="K44" t="str">
        <f t="shared" si="0"/>
        <v>BASELINE</v>
      </c>
      <c r="R44">
        <f t="shared" si="1"/>
        <v>1.0638477549353245</v>
      </c>
      <c r="S44" s="1"/>
    </row>
    <row r="45" spans="1:19" x14ac:dyDescent="0.2">
      <c r="A45" t="s">
        <v>19</v>
      </c>
      <c r="B45" t="s">
        <v>20</v>
      </c>
      <c r="C45">
        <v>383.15699999999998</v>
      </c>
      <c r="D45" s="2">
        <v>12422300</v>
      </c>
      <c r="E45">
        <v>119</v>
      </c>
      <c r="F45">
        <v>1218.7260000000001</v>
      </c>
      <c r="K45" t="str">
        <f t="shared" si="0"/>
        <v>BASELINE</v>
      </c>
      <c r="R45">
        <f t="shared" si="1"/>
        <v>1.0594403960964969</v>
      </c>
      <c r="S45" s="1"/>
    </row>
    <row r="46" spans="1:19" x14ac:dyDescent="0.2">
      <c r="A46" t="s">
        <v>19</v>
      </c>
      <c r="B46" t="s">
        <v>20</v>
      </c>
      <c r="C46">
        <v>383.548</v>
      </c>
      <c r="D46" s="2">
        <v>12435000</v>
      </c>
      <c r="E46">
        <v>109</v>
      </c>
      <c r="F46">
        <v>1215.961</v>
      </c>
      <c r="K46" t="str">
        <f t="shared" si="0"/>
        <v>BASELINE</v>
      </c>
      <c r="R46">
        <f t="shared" si="1"/>
        <v>1.0570367773214753</v>
      </c>
      <c r="S46" s="1"/>
    </row>
    <row r="47" spans="1:19" x14ac:dyDescent="0.2">
      <c r="A47" t="s">
        <v>19</v>
      </c>
      <c r="B47" t="s">
        <v>20</v>
      </c>
      <c r="C47">
        <v>383.80700000000002</v>
      </c>
      <c r="D47" s="2">
        <v>12443400</v>
      </c>
      <c r="E47">
        <v>119</v>
      </c>
      <c r="F47">
        <v>1203.0050000000001</v>
      </c>
      <c r="K47" t="str">
        <f t="shared" si="0"/>
        <v>BASELINE</v>
      </c>
      <c r="R47">
        <f t="shared" si="1"/>
        <v>1.0457741064899462</v>
      </c>
      <c r="S47" s="1"/>
    </row>
    <row r="48" spans="1:19" x14ac:dyDescent="0.2">
      <c r="A48" t="s">
        <v>19</v>
      </c>
      <c r="B48" t="s">
        <v>20</v>
      </c>
      <c r="C48">
        <v>386.58</v>
      </c>
      <c r="D48" s="2">
        <v>12533300</v>
      </c>
      <c r="E48">
        <v>119</v>
      </c>
      <c r="F48">
        <v>1210.9480000000001</v>
      </c>
      <c r="K48" t="str">
        <f t="shared" si="0"/>
        <v>BASELINE</v>
      </c>
      <c r="R48">
        <f t="shared" si="1"/>
        <v>1.0526789686707763</v>
      </c>
      <c r="S48" s="1"/>
    </row>
    <row r="49" spans="1:19" x14ac:dyDescent="0.2">
      <c r="A49" t="s">
        <v>19</v>
      </c>
      <c r="B49" t="s">
        <v>20</v>
      </c>
      <c r="C49">
        <v>381.38299999999998</v>
      </c>
      <c r="D49" s="2">
        <v>12364800</v>
      </c>
      <c r="E49">
        <v>107</v>
      </c>
      <c r="F49">
        <v>1218.3040000000001</v>
      </c>
      <c r="K49" t="str">
        <f t="shared" si="0"/>
        <v>BASELINE</v>
      </c>
      <c r="R49">
        <f t="shared" si="1"/>
        <v>1.0590735508440341</v>
      </c>
      <c r="S49" s="1"/>
    </row>
    <row r="50" spans="1:19" x14ac:dyDescent="0.2">
      <c r="A50" t="s">
        <v>19</v>
      </c>
      <c r="B50" t="s">
        <v>20</v>
      </c>
      <c r="C50">
        <v>383.85700000000003</v>
      </c>
      <c r="D50" s="2">
        <v>12445000</v>
      </c>
      <c r="E50">
        <v>122</v>
      </c>
      <c r="F50">
        <v>1195.5440000000001</v>
      </c>
      <c r="K50" t="str">
        <f t="shared" si="0"/>
        <v>BASELINE</v>
      </c>
      <c r="R50">
        <f t="shared" si="1"/>
        <v>1.0392882476543457</v>
      </c>
      <c r="S50" s="1"/>
    </row>
    <row r="51" spans="1:19" x14ac:dyDescent="0.2">
      <c r="A51" t="s">
        <v>19</v>
      </c>
      <c r="B51" t="s">
        <v>20</v>
      </c>
      <c r="C51">
        <v>384.86200000000002</v>
      </c>
      <c r="D51" s="2">
        <v>12477600</v>
      </c>
      <c r="E51">
        <v>117</v>
      </c>
      <c r="F51">
        <v>1201.9659999999999</v>
      </c>
      <c r="K51" t="str">
        <f t="shared" si="0"/>
        <v>BASELINE</v>
      </c>
      <c r="R51">
        <f t="shared" si="1"/>
        <v>1.0448709021835274</v>
      </c>
      <c r="S51" s="1"/>
    </row>
    <row r="52" spans="1:19" x14ac:dyDescent="0.2">
      <c r="A52" t="s">
        <v>19</v>
      </c>
      <c r="B52" t="s">
        <v>20</v>
      </c>
      <c r="C52">
        <v>385.86799999999999</v>
      </c>
      <c r="D52" s="2">
        <v>12510200</v>
      </c>
      <c r="E52">
        <v>105</v>
      </c>
      <c r="F52">
        <v>1211.883</v>
      </c>
      <c r="K52" t="str">
        <f t="shared" si="0"/>
        <v>BASELINE</v>
      </c>
      <c r="R52">
        <f t="shared" si="1"/>
        <v>1.0534917656163985</v>
      </c>
      <c r="S52" s="1"/>
    </row>
    <row r="53" spans="1:19" x14ac:dyDescent="0.2">
      <c r="A53" t="s">
        <v>19</v>
      </c>
      <c r="B53" t="s">
        <v>20</v>
      </c>
      <c r="C53">
        <v>385.62799999999999</v>
      </c>
      <c r="D53" s="2">
        <v>12502500</v>
      </c>
      <c r="E53">
        <v>104</v>
      </c>
      <c r="F53">
        <v>1195.8710000000001</v>
      </c>
      <c r="K53" t="str">
        <f t="shared" si="0"/>
        <v>BASELINE</v>
      </c>
      <c r="R53">
        <f t="shared" si="1"/>
        <v>1.0395725092599268</v>
      </c>
      <c r="S53" s="1"/>
    </row>
    <row r="54" spans="1:19" x14ac:dyDescent="0.2">
      <c r="A54" t="s">
        <v>19</v>
      </c>
      <c r="B54" t="s">
        <v>20</v>
      </c>
      <c r="C54">
        <v>385.95699999999999</v>
      </c>
      <c r="D54" s="2">
        <v>12513100</v>
      </c>
      <c r="E54">
        <v>112</v>
      </c>
      <c r="F54">
        <v>1203.924</v>
      </c>
      <c r="K54" t="str">
        <f t="shared" si="0"/>
        <v>BASELINE</v>
      </c>
      <c r="R54">
        <f t="shared" si="1"/>
        <v>1.0465729946108302</v>
      </c>
      <c r="S54" s="1"/>
    </row>
    <row r="55" spans="1:19" x14ac:dyDescent="0.2">
      <c r="A55" t="s">
        <v>19</v>
      </c>
      <c r="B55" t="s">
        <v>20</v>
      </c>
      <c r="C55">
        <v>385.63799999999998</v>
      </c>
      <c r="D55" s="2">
        <v>12502800</v>
      </c>
      <c r="E55">
        <v>112</v>
      </c>
      <c r="F55">
        <v>1204.0630000000001</v>
      </c>
      <c r="K55" t="str">
        <f t="shared" si="0"/>
        <v>BASELINE</v>
      </c>
      <c r="R55">
        <f t="shared" si="1"/>
        <v>1.0466938275257409</v>
      </c>
      <c r="S55" s="1"/>
    </row>
    <row r="56" spans="1:19" x14ac:dyDescent="0.2">
      <c r="A56" t="s">
        <v>19</v>
      </c>
      <c r="B56" t="s">
        <v>20</v>
      </c>
      <c r="C56">
        <v>382.72399999999999</v>
      </c>
      <c r="D56" s="2">
        <v>12408300</v>
      </c>
      <c r="E56">
        <v>102</v>
      </c>
      <c r="F56">
        <v>1193.627</v>
      </c>
      <c r="K56" t="str">
        <f t="shared" si="0"/>
        <v>BASELINE</v>
      </c>
      <c r="R56">
        <f t="shared" si="1"/>
        <v>1.0376217965904337</v>
      </c>
      <c r="S56" s="1"/>
    </row>
    <row r="57" spans="1:19" x14ac:dyDescent="0.2">
      <c r="A57" t="s">
        <v>19</v>
      </c>
      <c r="B57" t="s">
        <v>20</v>
      </c>
      <c r="C57">
        <v>381.11700000000002</v>
      </c>
      <c r="D57" s="2">
        <v>12356200</v>
      </c>
      <c r="E57">
        <v>114</v>
      </c>
      <c r="F57">
        <v>1200.538</v>
      </c>
      <c r="K57" t="str">
        <f t="shared" si="0"/>
        <v>BASELINE</v>
      </c>
      <c r="R57">
        <f t="shared" si="1"/>
        <v>1.0436295395756683</v>
      </c>
      <c r="S57" s="1"/>
    </row>
    <row r="58" spans="1:19" x14ac:dyDescent="0.2">
      <c r="A58" t="s">
        <v>19</v>
      </c>
      <c r="B58" t="s">
        <v>20</v>
      </c>
      <c r="C58">
        <v>383.28199999999998</v>
      </c>
      <c r="D58" s="2">
        <v>12426400</v>
      </c>
      <c r="E58">
        <v>116</v>
      </c>
      <c r="F58">
        <v>1199.373</v>
      </c>
      <c r="K58" t="str">
        <f t="shared" si="0"/>
        <v>BASELINE</v>
      </c>
      <c r="R58">
        <f t="shared" si="1"/>
        <v>1.0426168032744387</v>
      </c>
      <c r="S58" s="1"/>
    </row>
    <row r="59" spans="1:19" x14ac:dyDescent="0.2">
      <c r="A59" t="s">
        <v>19</v>
      </c>
      <c r="B59" t="s">
        <v>20</v>
      </c>
      <c r="C59">
        <v>383.55700000000002</v>
      </c>
      <c r="D59" s="2">
        <v>12435300</v>
      </c>
      <c r="E59">
        <v>118</v>
      </c>
      <c r="F59">
        <v>1198.7660000000001</v>
      </c>
      <c r="K59" t="str">
        <f t="shared" si="0"/>
        <v>BASELINE</v>
      </c>
      <c r="R59">
        <f t="shared" si="1"/>
        <v>1.042089137235944</v>
      </c>
      <c r="S59" s="1"/>
    </row>
    <row r="60" spans="1:19" x14ac:dyDescent="0.2">
      <c r="A60" t="s">
        <v>19</v>
      </c>
      <c r="B60" t="s">
        <v>20</v>
      </c>
      <c r="C60">
        <v>390.02800000000002</v>
      </c>
      <c r="D60" s="2">
        <v>12645100</v>
      </c>
      <c r="E60">
        <v>119</v>
      </c>
      <c r="F60">
        <v>1187.837</v>
      </c>
      <c r="K60" t="str">
        <f t="shared" si="0"/>
        <v>BASELINE</v>
      </c>
      <c r="R60">
        <f t="shared" si="1"/>
        <v>1.0325885406383997</v>
      </c>
      <c r="S60" s="1"/>
    </row>
    <row r="61" spans="1:19" x14ac:dyDescent="0.2">
      <c r="A61" t="s">
        <v>19</v>
      </c>
      <c r="B61" t="s">
        <v>20</v>
      </c>
      <c r="C61">
        <v>390.32600000000002</v>
      </c>
      <c r="D61" s="2">
        <v>12654700</v>
      </c>
      <c r="E61">
        <v>120</v>
      </c>
      <c r="F61">
        <v>1189.6400000000001</v>
      </c>
      <c r="K61" t="str">
        <f t="shared" si="0"/>
        <v>BASELINE</v>
      </c>
      <c r="R61">
        <f t="shared" si="1"/>
        <v>1.034155891326054</v>
      </c>
      <c r="S61" s="1"/>
    </row>
    <row r="62" spans="1:19" x14ac:dyDescent="0.2">
      <c r="A62" t="s">
        <v>19</v>
      </c>
      <c r="B62" t="s">
        <v>20</v>
      </c>
      <c r="C62">
        <v>397.50200000000001</v>
      </c>
      <c r="D62" s="2">
        <v>12887400</v>
      </c>
      <c r="E62">
        <v>122</v>
      </c>
      <c r="F62">
        <v>1192.018</v>
      </c>
      <c r="K62" t="str">
        <f t="shared" si="0"/>
        <v>BASELINE</v>
      </c>
      <c r="R62">
        <f t="shared" si="1"/>
        <v>1.036223090402727</v>
      </c>
      <c r="S62" s="1"/>
    </row>
    <row r="63" spans="1:19" x14ac:dyDescent="0.2">
      <c r="A63" t="s">
        <v>19</v>
      </c>
      <c r="B63" t="s">
        <v>20</v>
      </c>
      <c r="C63">
        <v>393.67500000000001</v>
      </c>
      <c r="D63" s="2">
        <v>12763300</v>
      </c>
      <c r="E63">
        <v>106</v>
      </c>
      <c r="F63">
        <v>1177.74</v>
      </c>
      <c r="K63" t="str">
        <f t="shared" si="0"/>
        <v>BASELINE</v>
      </c>
      <c r="R63">
        <f t="shared" si="1"/>
        <v>1.0238112029272273</v>
      </c>
      <c r="S63" s="1"/>
    </row>
    <row r="64" spans="1:19" x14ac:dyDescent="0.2">
      <c r="A64" t="s">
        <v>19</v>
      </c>
      <c r="B64" t="s">
        <v>20</v>
      </c>
      <c r="C64">
        <v>397.94900000000001</v>
      </c>
      <c r="D64" s="2">
        <v>12901900</v>
      </c>
      <c r="E64">
        <v>129</v>
      </c>
      <c r="F64">
        <v>1186.4010000000001</v>
      </c>
      <c r="K64" t="str">
        <f t="shared" si="0"/>
        <v>BASELINE</v>
      </c>
      <c r="R64">
        <f t="shared" si="1"/>
        <v>1.0313402236181717</v>
      </c>
      <c r="S64" s="1"/>
    </row>
    <row r="65" spans="1:19" x14ac:dyDescent="0.2">
      <c r="A65" t="s">
        <v>19</v>
      </c>
      <c r="B65" t="s">
        <v>20</v>
      </c>
      <c r="C65">
        <v>392.89100000000002</v>
      </c>
      <c r="D65" s="2">
        <v>12737900</v>
      </c>
      <c r="E65">
        <v>85</v>
      </c>
      <c r="F65">
        <v>1203.547</v>
      </c>
      <c r="K65" t="str">
        <f t="shared" si="0"/>
        <v>BASELINE</v>
      </c>
      <c r="R65">
        <f t="shared" si="1"/>
        <v>1.046245267927943</v>
      </c>
      <c r="S65" s="1"/>
    </row>
    <row r="66" spans="1:19" x14ac:dyDescent="0.2">
      <c r="A66" t="s">
        <v>19</v>
      </c>
      <c r="B66" t="s">
        <v>20</v>
      </c>
      <c r="C66">
        <v>395.54199999999997</v>
      </c>
      <c r="D66" s="2">
        <v>12823900</v>
      </c>
      <c r="E66">
        <v>125</v>
      </c>
      <c r="F66">
        <v>1191.5119999999999</v>
      </c>
      <c r="K66" t="str">
        <f t="shared" si="0"/>
        <v>BASELINE</v>
      </c>
      <c r="R66">
        <f t="shared" ref="R66:R129" si="2">F66/$H$2</f>
        <v>1.0357832238203901</v>
      </c>
      <c r="S66" s="1"/>
    </row>
    <row r="67" spans="1:19" x14ac:dyDescent="0.2">
      <c r="A67" t="s">
        <v>19</v>
      </c>
      <c r="B67" t="s">
        <v>20</v>
      </c>
      <c r="C67">
        <v>393.58199999999999</v>
      </c>
      <c r="D67" s="2">
        <v>12760300</v>
      </c>
      <c r="E67">
        <v>121</v>
      </c>
      <c r="F67">
        <v>1185.8009999999999</v>
      </c>
      <c r="K67" t="str">
        <f t="shared" ref="K67:K130" si="3">IF(F67&gt;($H$4+$H$4*(0.3+ABS($I$12))), F67, "BASELINE")</f>
        <v>BASELINE</v>
      </c>
      <c r="R67">
        <f t="shared" si="2"/>
        <v>1.0308186426904995</v>
      </c>
      <c r="S67" s="1"/>
    </row>
    <row r="68" spans="1:19" x14ac:dyDescent="0.2">
      <c r="A68" t="s">
        <v>19</v>
      </c>
      <c r="B68" t="s">
        <v>20</v>
      </c>
      <c r="C68">
        <v>391.44</v>
      </c>
      <c r="D68" s="2">
        <v>12690900</v>
      </c>
      <c r="E68">
        <v>114</v>
      </c>
      <c r="F68">
        <v>1174.5640000000001</v>
      </c>
      <c r="K68" t="str">
        <f t="shared" si="3"/>
        <v>BASELINE</v>
      </c>
      <c r="R68">
        <f t="shared" si="2"/>
        <v>1.0210503012167507</v>
      </c>
      <c r="S68" s="1"/>
    </row>
    <row r="69" spans="1:19" x14ac:dyDescent="0.2">
      <c r="A69" t="s">
        <v>19</v>
      </c>
      <c r="B69" t="s">
        <v>20</v>
      </c>
      <c r="C69">
        <v>394.601</v>
      </c>
      <c r="D69" s="2">
        <v>12793400</v>
      </c>
      <c r="E69">
        <v>113</v>
      </c>
      <c r="F69">
        <v>1177.672</v>
      </c>
      <c r="K69" t="str">
        <f t="shared" si="3"/>
        <v>BASELINE</v>
      </c>
      <c r="R69">
        <f t="shared" si="2"/>
        <v>1.0237520904220911</v>
      </c>
      <c r="S69" s="1"/>
    </row>
    <row r="70" spans="1:19" x14ac:dyDescent="0.2">
      <c r="A70" t="s">
        <v>19</v>
      </c>
      <c r="B70" t="s">
        <v>20</v>
      </c>
      <c r="C70">
        <v>390.48599999999999</v>
      </c>
      <c r="D70" s="2">
        <v>12659900</v>
      </c>
      <c r="E70">
        <v>107</v>
      </c>
      <c r="F70">
        <v>1178.7929999999999</v>
      </c>
      <c r="K70" t="str">
        <f t="shared" si="3"/>
        <v>BASELINE</v>
      </c>
      <c r="R70">
        <f t="shared" si="2"/>
        <v>1.0247265774552914</v>
      </c>
      <c r="S70" s="1"/>
    </row>
    <row r="71" spans="1:19" x14ac:dyDescent="0.2">
      <c r="A71" t="s">
        <v>19</v>
      </c>
      <c r="B71" t="s">
        <v>20</v>
      </c>
      <c r="C71">
        <v>389.98399999999998</v>
      </c>
      <c r="D71" s="2">
        <v>12643700</v>
      </c>
      <c r="E71">
        <v>110</v>
      </c>
      <c r="F71">
        <v>1184.846</v>
      </c>
      <c r="K71" t="str">
        <f t="shared" si="3"/>
        <v>BASELINE</v>
      </c>
      <c r="R71">
        <f t="shared" si="2"/>
        <v>1.0299884597139553</v>
      </c>
      <c r="S71" s="1"/>
    </row>
    <row r="72" spans="1:19" x14ac:dyDescent="0.2">
      <c r="A72" t="s">
        <v>19</v>
      </c>
      <c r="B72" t="s">
        <v>20</v>
      </c>
      <c r="C72">
        <v>394.79399999999998</v>
      </c>
      <c r="D72" s="2">
        <v>12799600</v>
      </c>
      <c r="E72">
        <v>121</v>
      </c>
      <c r="F72">
        <v>1181.2639999999999</v>
      </c>
      <c r="K72" t="str">
        <f t="shared" si="3"/>
        <v>BASELINE</v>
      </c>
      <c r="R72">
        <f t="shared" si="2"/>
        <v>1.0268746215757536</v>
      </c>
      <c r="S72" s="1"/>
    </row>
    <row r="73" spans="1:19" x14ac:dyDescent="0.2">
      <c r="A73" t="s">
        <v>19</v>
      </c>
      <c r="B73" t="s">
        <v>20</v>
      </c>
      <c r="C73">
        <v>396.15199999999999</v>
      </c>
      <c r="D73" s="2">
        <v>12843600</v>
      </c>
      <c r="E73">
        <v>113</v>
      </c>
      <c r="F73">
        <v>1167.0360000000001</v>
      </c>
      <c r="K73" t="str">
        <f t="shared" si="3"/>
        <v>BASELINE</v>
      </c>
      <c r="R73">
        <f t="shared" si="2"/>
        <v>1.0145061991775601</v>
      </c>
      <c r="S73" s="1"/>
    </row>
    <row r="74" spans="1:19" x14ac:dyDescent="0.2">
      <c r="A74" t="s">
        <v>19</v>
      </c>
      <c r="B74" t="s">
        <v>20</v>
      </c>
      <c r="C74">
        <v>392.37</v>
      </c>
      <c r="D74" s="2">
        <v>12721000</v>
      </c>
      <c r="E74">
        <v>113</v>
      </c>
      <c r="F74">
        <v>1182.96</v>
      </c>
      <c r="K74" t="str">
        <f t="shared" si="3"/>
        <v>BASELINE</v>
      </c>
      <c r="R74">
        <f t="shared" si="2"/>
        <v>1.0283489569979731</v>
      </c>
      <c r="S74" s="1"/>
    </row>
    <row r="75" spans="1:19" x14ac:dyDescent="0.2">
      <c r="A75" t="s">
        <v>19</v>
      </c>
      <c r="B75" t="s">
        <v>20</v>
      </c>
      <c r="C75">
        <v>393.12700000000001</v>
      </c>
      <c r="D75" s="2">
        <v>12745600</v>
      </c>
      <c r="E75">
        <v>119</v>
      </c>
      <c r="F75">
        <v>1170.828</v>
      </c>
      <c r="K75" t="str">
        <f t="shared" si="3"/>
        <v>BASELINE</v>
      </c>
      <c r="R75">
        <f t="shared" si="2"/>
        <v>1.0178025906404466</v>
      </c>
      <c r="S75" s="1"/>
    </row>
    <row r="76" spans="1:19" x14ac:dyDescent="0.2">
      <c r="A76" t="s">
        <v>19</v>
      </c>
      <c r="B76" t="s">
        <v>20</v>
      </c>
      <c r="C76">
        <v>391.71199999999999</v>
      </c>
      <c r="D76" s="2">
        <v>12699700</v>
      </c>
      <c r="E76">
        <v>102</v>
      </c>
      <c r="F76">
        <v>1176.2940000000001</v>
      </c>
      <c r="K76" t="str">
        <f t="shared" si="3"/>
        <v>BASELINE</v>
      </c>
      <c r="R76">
        <f t="shared" si="2"/>
        <v>1.022554192891538</v>
      </c>
      <c r="S76" s="1"/>
    </row>
    <row r="77" spans="1:19" x14ac:dyDescent="0.2">
      <c r="A77" t="s">
        <v>19</v>
      </c>
      <c r="B77" t="s">
        <v>20</v>
      </c>
      <c r="C77">
        <v>395.07</v>
      </c>
      <c r="D77" s="2">
        <v>12808600</v>
      </c>
      <c r="E77">
        <v>120</v>
      </c>
      <c r="F77">
        <v>1167.047</v>
      </c>
      <c r="K77" t="str">
        <f t="shared" si="3"/>
        <v>BASELINE</v>
      </c>
      <c r="R77">
        <f t="shared" si="2"/>
        <v>1.0145157614945675</v>
      </c>
      <c r="S77" s="1"/>
    </row>
    <row r="78" spans="1:19" x14ac:dyDescent="0.2">
      <c r="A78" t="s">
        <v>19</v>
      </c>
      <c r="B78" t="s">
        <v>20</v>
      </c>
      <c r="C78">
        <v>392.49099999999999</v>
      </c>
      <c r="D78" s="2">
        <v>12725000</v>
      </c>
      <c r="E78">
        <v>112</v>
      </c>
      <c r="F78">
        <v>1158.1600000000001</v>
      </c>
      <c r="K78" t="str">
        <f t="shared" si="3"/>
        <v>BASELINE</v>
      </c>
      <c r="R78">
        <f t="shared" si="2"/>
        <v>1.0067902786542</v>
      </c>
      <c r="S78" s="1"/>
    </row>
    <row r="79" spans="1:19" x14ac:dyDescent="0.2">
      <c r="A79" t="s">
        <v>19</v>
      </c>
      <c r="B79" t="s">
        <v>20</v>
      </c>
      <c r="C79">
        <v>391.55500000000001</v>
      </c>
      <c r="D79" s="2">
        <v>12694600</v>
      </c>
      <c r="E79">
        <v>116</v>
      </c>
      <c r="F79">
        <v>1180.0820000000001</v>
      </c>
      <c r="K79" t="str">
        <f t="shared" si="3"/>
        <v>BASELINE</v>
      </c>
      <c r="R79">
        <f t="shared" si="2"/>
        <v>1.0258471071482402</v>
      </c>
      <c r="S79" s="1"/>
    </row>
    <row r="80" spans="1:19" x14ac:dyDescent="0.2">
      <c r="A80" t="s">
        <v>19</v>
      </c>
      <c r="B80" t="s">
        <v>20</v>
      </c>
      <c r="C80">
        <v>393.029</v>
      </c>
      <c r="D80" s="2">
        <v>12742400</v>
      </c>
      <c r="E80">
        <v>118</v>
      </c>
      <c r="F80">
        <v>1160.0909999999999</v>
      </c>
      <c r="K80" t="str">
        <f t="shared" si="3"/>
        <v>BASELINE</v>
      </c>
      <c r="R80">
        <f t="shared" si="2"/>
        <v>1.0084688999397575</v>
      </c>
      <c r="S80" s="1"/>
    </row>
    <row r="81" spans="1:19" x14ac:dyDescent="0.2">
      <c r="A81" t="s">
        <v>19</v>
      </c>
      <c r="B81" t="s">
        <v>20</v>
      </c>
      <c r="C81">
        <v>392.47500000000002</v>
      </c>
      <c r="D81" s="2">
        <v>12724400</v>
      </c>
      <c r="E81">
        <v>115</v>
      </c>
      <c r="F81">
        <v>1178.3610000000001</v>
      </c>
      <c r="K81" t="str">
        <f t="shared" si="3"/>
        <v>BASELINE</v>
      </c>
      <c r="R81">
        <f t="shared" si="2"/>
        <v>1.0243510391873678</v>
      </c>
      <c r="S81" s="1"/>
    </row>
    <row r="82" spans="1:19" x14ac:dyDescent="0.2">
      <c r="A82" t="s">
        <v>19</v>
      </c>
      <c r="B82" t="s">
        <v>20</v>
      </c>
      <c r="C82">
        <v>394.834</v>
      </c>
      <c r="D82" s="2">
        <v>12800900</v>
      </c>
      <c r="E82">
        <v>123</v>
      </c>
      <c r="F82">
        <v>1179.4580000000001</v>
      </c>
      <c r="K82" t="str">
        <f t="shared" si="3"/>
        <v>BASELINE</v>
      </c>
      <c r="R82">
        <f t="shared" si="2"/>
        <v>1.0253046629834612</v>
      </c>
      <c r="S82" s="1"/>
    </row>
    <row r="83" spans="1:19" x14ac:dyDescent="0.2">
      <c r="A83" t="s">
        <v>19</v>
      </c>
      <c r="B83" t="s">
        <v>20</v>
      </c>
      <c r="C83">
        <v>393.08</v>
      </c>
      <c r="D83" s="2">
        <v>12744000</v>
      </c>
      <c r="E83">
        <v>115</v>
      </c>
      <c r="F83">
        <v>1169.308</v>
      </c>
      <c r="K83" t="str">
        <f t="shared" si="3"/>
        <v>BASELINE</v>
      </c>
      <c r="R83">
        <f t="shared" si="2"/>
        <v>1.0164812522903444</v>
      </c>
      <c r="S83" s="1"/>
    </row>
    <row r="84" spans="1:19" x14ac:dyDescent="0.2">
      <c r="A84" t="s">
        <v>19</v>
      </c>
      <c r="B84" t="s">
        <v>20</v>
      </c>
      <c r="C84">
        <v>400.82900000000001</v>
      </c>
      <c r="D84" s="2">
        <v>12995300</v>
      </c>
      <c r="E84">
        <v>106</v>
      </c>
      <c r="F84">
        <v>1156.5609999999999</v>
      </c>
      <c r="K84" t="str">
        <f t="shared" si="3"/>
        <v>BASELINE</v>
      </c>
      <c r="R84">
        <f t="shared" si="2"/>
        <v>1.0054002654819543</v>
      </c>
      <c r="S84" s="1"/>
    </row>
    <row r="85" spans="1:19" x14ac:dyDescent="0.2">
      <c r="A85" t="s">
        <v>19</v>
      </c>
      <c r="B85" t="s">
        <v>20</v>
      </c>
      <c r="C85">
        <v>396.94900000000001</v>
      </c>
      <c r="D85" s="2">
        <v>12869500</v>
      </c>
      <c r="E85">
        <v>107</v>
      </c>
      <c r="F85">
        <v>1155.4860000000001</v>
      </c>
      <c r="K85" t="str">
        <f t="shared" si="3"/>
        <v>BASELINE</v>
      </c>
      <c r="R85">
        <f t="shared" si="2"/>
        <v>1.0044657663198755</v>
      </c>
      <c r="S85" s="1"/>
    </row>
    <row r="86" spans="1:19" x14ac:dyDescent="0.2">
      <c r="A86" t="s">
        <v>19</v>
      </c>
      <c r="B86" t="s">
        <v>20</v>
      </c>
      <c r="C86">
        <v>390.23700000000002</v>
      </c>
      <c r="D86" s="2">
        <v>12651900</v>
      </c>
      <c r="E86">
        <v>108</v>
      </c>
      <c r="F86">
        <v>1142.326</v>
      </c>
      <c r="K86" t="str">
        <f t="shared" si="3"/>
        <v>BASELINE</v>
      </c>
      <c r="R86">
        <f t="shared" si="2"/>
        <v>0.99302575797293791</v>
      </c>
      <c r="S86" s="1"/>
    </row>
    <row r="87" spans="1:19" x14ac:dyDescent="0.2">
      <c r="A87" t="s">
        <v>19</v>
      </c>
      <c r="B87" t="s">
        <v>20</v>
      </c>
      <c r="C87">
        <v>393.80700000000002</v>
      </c>
      <c r="D87" s="2">
        <v>12767600</v>
      </c>
      <c r="E87">
        <v>118</v>
      </c>
      <c r="F87">
        <v>1151.376</v>
      </c>
      <c r="K87" t="str">
        <f t="shared" si="3"/>
        <v>BASELINE</v>
      </c>
      <c r="R87">
        <f t="shared" si="2"/>
        <v>1.0008929369653228</v>
      </c>
      <c r="S87" s="1"/>
    </row>
    <row r="88" spans="1:19" x14ac:dyDescent="0.2">
      <c r="A88" t="s">
        <v>19</v>
      </c>
      <c r="B88" t="s">
        <v>20</v>
      </c>
      <c r="C88">
        <v>393.94099999999997</v>
      </c>
      <c r="D88" s="2">
        <v>12772000</v>
      </c>
      <c r="E88">
        <v>117</v>
      </c>
      <c r="F88">
        <v>1149.5319999999999</v>
      </c>
      <c r="K88" t="str">
        <f t="shared" si="3"/>
        <v>BASELINE</v>
      </c>
      <c r="R88">
        <f t="shared" si="2"/>
        <v>0.99928994491427758</v>
      </c>
      <c r="S88" s="1"/>
    </row>
    <row r="89" spans="1:19" x14ac:dyDescent="0.2">
      <c r="A89" t="s">
        <v>19</v>
      </c>
      <c r="B89" t="s">
        <v>20</v>
      </c>
      <c r="C89">
        <v>396.02</v>
      </c>
      <c r="D89" s="2">
        <v>12839400</v>
      </c>
      <c r="E89">
        <v>110</v>
      </c>
      <c r="F89">
        <v>1154.9110000000001</v>
      </c>
      <c r="K89" t="str">
        <f t="shared" si="3"/>
        <v>BASELINE</v>
      </c>
      <c r="R89">
        <f t="shared" si="2"/>
        <v>1.0039659179308567</v>
      </c>
      <c r="S89" s="1"/>
    </row>
    <row r="90" spans="1:19" x14ac:dyDescent="0.2">
      <c r="A90" t="s">
        <v>19</v>
      </c>
      <c r="B90" t="s">
        <v>20</v>
      </c>
      <c r="C90">
        <v>391.30799999999999</v>
      </c>
      <c r="D90" s="2">
        <v>12686600</v>
      </c>
      <c r="E90">
        <v>118</v>
      </c>
      <c r="F90">
        <v>1129.23</v>
      </c>
      <c r="K90" t="str">
        <f t="shared" si="3"/>
        <v>BASELINE</v>
      </c>
      <c r="R90">
        <f t="shared" si="2"/>
        <v>0.9816413849249519</v>
      </c>
      <c r="S90" s="1"/>
    </row>
    <row r="91" spans="1:19" x14ac:dyDescent="0.2">
      <c r="A91" t="s">
        <v>19</v>
      </c>
      <c r="B91" t="s">
        <v>20</v>
      </c>
      <c r="C91">
        <v>395.447</v>
      </c>
      <c r="D91" s="2">
        <v>12820800</v>
      </c>
      <c r="E91">
        <v>116</v>
      </c>
      <c r="F91">
        <v>1152.9290000000001</v>
      </c>
      <c r="K91" t="str">
        <f t="shared" si="3"/>
        <v>BASELINE</v>
      </c>
      <c r="R91">
        <f t="shared" si="2"/>
        <v>1.002242962266447</v>
      </c>
      <c r="S91" s="1"/>
    </row>
    <row r="92" spans="1:19" x14ac:dyDescent="0.2">
      <c r="A92" t="s">
        <v>19</v>
      </c>
      <c r="B92" t="s">
        <v>20</v>
      </c>
      <c r="C92">
        <v>393.16699999999997</v>
      </c>
      <c r="D92" s="2">
        <v>12746900</v>
      </c>
      <c r="E92">
        <v>119</v>
      </c>
      <c r="F92">
        <v>1134.9000000000001</v>
      </c>
      <c r="K92" t="str">
        <f t="shared" si="3"/>
        <v>BASELINE</v>
      </c>
      <c r="R92">
        <f t="shared" si="2"/>
        <v>0.98657032469145167</v>
      </c>
      <c r="S92" s="1"/>
    </row>
    <row r="93" spans="1:19" x14ac:dyDescent="0.2">
      <c r="A93" t="s">
        <v>19</v>
      </c>
      <c r="B93" t="s">
        <v>20</v>
      </c>
      <c r="C93">
        <v>392.149</v>
      </c>
      <c r="D93" s="2">
        <v>12713900</v>
      </c>
      <c r="E93">
        <v>111</v>
      </c>
      <c r="F93">
        <v>1127.3209999999999</v>
      </c>
      <c r="K93" t="str">
        <f t="shared" si="3"/>
        <v>BASELINE</v>
      </c>
      <c r="R93">
        <f t="shared" si="2"/>
        <v>0.97998188827340893</v>
      </c>
      <c r="S93" s="1"/>
    </row>
    <row r="94" spans="1:19" x14ac:dyDescent="0.2">
      <c r="A94" t="s">
        <v>19</v>
      </c>
      <c r="B94" t="s">
        <v>20</v>
      </c>
      <c r="C94">
        <v>392.82900000000001</v>
      </c>
      <c r="D94" s="2">
        <v>12735900</v>
      </c>
      <c r="E94">
        <v>115</v>
      </c>
      <c r="F94">
        <v>1127.0419999999999</v>
      </c>
      <c r="K94" t="str">
        <f t="shared" si="3"/>
        <v>BASELINE</v>
      </c>
      <c r="R94">
        <f t="shared" si="2"/>
        <v>0.97973935314204152</v>
      </c>
      <c r="S94" s="1"/>
    </row>
    <row r="95" spans="1:19" x14ac:dyDescent="0.2">
      <c r="A95" t="s">
        <v>19</v>
      </c>
      <c r="B95" t="s">
        <v>20</v>
      </c>
      <c r="C95">
        <v>392.79300000000001</v>
      </c>
      <c r="D95" s="2">
        <v>12734700</v>
      </c>
      <c r="E95">
        <v>115</v>
      </c>
      <c r="F95">
        <v>1125.01</v>
      </c>
      <c r="K95" t="str">
        <f t="shared" si="3"/>
        <v>BASELINE</v>
      </c>
      <c r="R95">
        <f t="shared" si="2"/>
        <v>0.97797293240032601</v>
      </c>
      <c r="S95" s="1"/>
    </row>
    <row r="96" spans="1:19" x14ac:dyDescent="0.2">
      <c r="A96" t="s">
        <v>19</v>
      </c>
      <c r="B96" t="s">
        <v>20</v>
      </c>
      <c r="C96">
        <v>392.72300000000001</v>
      </c>
      <c r="D96" s="2">
        <v>12732500</v>
      </c>
      <c r="E96">
        <v>117</v>
      </c>
      <c r="F96">
        <v>1125.8800000000001</v>
      </c>
      <c r="K96" t="str">
        <f t="shared" si="3"/>
        <v>BASELINE</v>
      </c>
      <c r="R96">
        <f t="shared" si="2"/>
        <v>0.97872922474545043</v>
      </c>
      <c r="S96" s="1"/>
    </row>
    <row r="97" spans="1:19" x14ac:dyDescent="0.2">
      <c r="A97" t="s">
        <v>19</v>
      </c>
      <c r="B97" t="s">
        <v>20</v>
      </c>
      <c r="C97">
        <v>394.86900000000003</v>
      </c>
      <c r="D97" s="2">
        <v>12802100</v>
      </c>
      <c r="E97">
        <v>124</v>
      </c>
      <c r="F97">
        <v>1126.0999999999999</v>
      </c>
      <c r="K97" t="str">
        <f t="shared" si="3"/>
        <v>BASELINE</v>
      </c>
      <c r="R97">
        <f t="shared" si="2"/>
        <v>0.97892047108559666</v>
      </c>
      <c r="S97" s="1"/>
    </row>
    <row r="98" spans="1:19" x14ac:dyDescent="0.2">
      <c r="A98" t="s">
        <v>19</v>
      </c>
      <c r="B98" t="s">
        <v>20</v>
      </c>
      <c r="C98">
        <v>394.29899999999998</v>
      </c>
      <c r="D98" s="2">
        <v>12783600</v>
      </c>
      <c r="E98">
        <v>120</v>
      </c>
      <c r="F98">
        <v>1121.7239999999999</v>
      </c>
      <c r="K98" t="str">
        <f t="shared" si="3"/>
        <v>BASELINE</v>
      </c>
      <c r="R98">
        <f t="shared" si="2"/>
        <v>0.97511640751977602</v>
      </c>
      <c r="S98" s="1"/>
    </row>
    <row r="99" spans="1:19" x14ac:dyDescent="0.2">
      <c r="A99" t="s">
        <v>19</v>
      </c>
      <c r="B99" t="s">
        <v>20</v>
      </c>
      <c r="C99">
        <v>391.27499999999998</v>
      </c>
      <c r="D99" s="2">
        <v>12685500</v>
      </c>
      <c r="E99">
        <v>123</v>
      </c>
      <c r="F99">
        <v>1128.3779999999999</v>
      </c>
      <c r="K99" t="str">
        <f t="shared" si="3"/>
        <v>BASELINE</v>
      </c>
      <c r="R99">
        <f t="shared" si="2"/>
        <v>0.9809007400076577</v>
      </c>
      <c r="S99" s="1"/>
    </row>
    <row r="100" spans="1:19" x14ac:dyDescent="0.2">
      <c r="A100" t="s">
        <v>19</v>
      </c>
      <c r="B100" t="s">
        <v>20</v>
      </c>
      <c r="C100">
        <v>392.77199999999999</v>
      </c>
      <c r="D100" s="2">
        <v>12734000</v>
      </c>
      <c r="E100">
        <v>118</v>
      </c>
      <c r="F100">
        <v>1123.3610000000001</v>
      </c>
      <c r="K100" t="str">
        <f t="shared" si="3"/>
        <v>BASELINE</v>
      </c>
      <c r="R100">
        <f t="shared" si="2"/>
        <v>0.97653945415077437</v>
      </c>
      <c r="S100" s="1"/>
    </row>
    <row r="101" spans="1:19" x14ac:dyDescent="0.2">
      <c r="A101" t="s">
        <v>19</v>
      </c>
      <c r="B101" t="s">
        <v>20</v>
      </c>
      <c r="C101">
        <v>391.94200000000001</v>
      </c>
      <c r="D101" s="2">
        <v>12707100</v>
      </c>
      <c r="E101">
        <v>106</v>
      </c>
      <c r="F101">
        <v>1125.269</v>
      </c>
      <c r="K101" t="str">
        <f t="shared" si="3"/>
        <v>BASELINE</v>
      </c>
      <c r="R101">
        <f t="shared" si="2"/>
        <v>0.97819808150077103</v>
      </c>
      <c r="S101" s="1"/>
    </row>
    <row r="102" spans="1:19" x14ac:dyDescent="0.2">
      <c r="A102" t="s">
        <v>19</v>
      </c>
      <c r="B102" t="s">
        <v>20</v>
      </c>
      <c r="C102">
        <v>394.33499999999998</v>
      </c>
      <c r="D102" s="2">
        <v>12784700</v>
      </c>
      <c r="E102">
        <v>116</v>
      </c>
      <c r="F102">
        <v>1120.452</v>
      </c>
      <c r="K102" t="str">
        <f t="shared" si="3"/>
        <v>BASELINE</v>
      </c>
      <c r="R102">
        <f t="shared" si="2"/>
        <v>0.97401065595311165</v>
      </c>
      <c r="S102" s="1"/>
    </row>
    <row r="103" spans="1:19" x14ac:dyDescent="0.2">
      <c r="A103" t="s">
        <v>19</v>
      </c>
      <c r="B103" t="s">
        <v>20</v>
      </c>
      <c r="C103">
        <v>392.98899999999998</v>
      </c>
      <c r="D103" s="2">
        <v>12741100</v>
      </c>
      <c r="E103">
        <v>118</v>
      </c>
      <c r="F103">
        <v>1119.877</v>
      </c>
      <c r="K103" t="str">
        <f t="shared" si="3"/>
        <v>BASELINE</v>
      </c>
      <c r="R103">
        <f t="shared" si="2"/>
        <v>0.97351080756409258</v>
      </c>
      <c r="S103" s="1"/>
    </row>
    <row r="104" spans="1:19" x14ac:dyDescent="0.2">
      <c r="A104" t="s">
        <v>19</v>
      </c>
      <c r="B104" t="s">
        <v>20</v>
      </c>
      <c r="C104">
        <v>391.3</v>
      </c>
      <c r="D104" s="2">
        <v>12686300</v>
      </c>
      <c r="E104">
        <v>118</v>
      </c>
      <c r="F104">
        <v>1107.5309999999999</v>
      </c>
      <c r="K104" t="str">
        <f t="shared" si="3"/>
        <v>BASELINE</v>
      </c>
      <c r="R104">
        <f t="shared" si="2"/>
        <v>0.96277841067569658</v>
      </c>
      <c r="S104" s="1"/>
    </row>
    <row r="105" spans="1:19" x14ac:dyDescent="0.2">
      <c r="A105" t="s">
        <v>19</v>
      </c>
      <c r="B105" t="s">
        <v>20</v>
      </c>
      <c r="C105">
        <v>388.93799999999999</v>
      </c>
      <c r="D105" s="2">
        <v>12609800</v>
      </c>
      <c r="E105">
        <v>117</v>
      </c>
      <c r="F105">
        <v>1095.877</v>
      </c>
      <c r="K105" t="str">
        <f t="shared" si="3"/>
        <v>BASELINE</v>
      </c>
      <c r="R105">
        <f t="shared" si="2"/>
        <v>0.95264757045721549</v>
      </c>
      <c r="S105" s="1"/>
    </row>
    <row r="106" spans="1:19" x14ac:dyDescent="0.2">
      <c r="A106" t="s">
        <v>19</v>
      </c>
      <c r="B106" t="s">
        <v>20</v>
      </c>
      <c r="C106">
        <v>389.04300000000001</v>
      </c>
      <c r="D106" s="2">
        <v>12613200</v>
      </c>
      <c r="E106">
        <v>110</v>
      </c>
      <c r="F106">
        <v>1111.6849999999999</v>
      </c>
      <c r="K106" t="str">
        <f t="shared" si="3"/>
        <v>BASELINE</v>
      </c>
      <c r="R106">
        <f t="shared" si="2"/>
        <v>0.96638948929827861</v>
      </c>
      <c r="S106" s="1"/>
    </row>
    <row r="107" spans="1:19" x14ac:dyDescent="0.2">
      <c r="A107" t="s">
        <v>19</v>
      </c>
      <c r="B107" t="s">
        <v>20</v>
      </c>
      <c r="C107">
        <v>390.96499999999997</v>
      </c>
      <c r="D107" s="2">
        <v>12675500</v>
      </c>
      <c r="E107">
        <v>116</v>
      </c>
      <c r="F107">
        <v>1108.5999999999999</v>
      </c>
      <c r="K107" t="str">
        <f t="shared" si="3"/>
        <v>BASELINE</v>
      </c>
      <c r="R107">
        <f t="shared" si="2"/>
        <v>0.96370769402849865</v>
      </c>
      <c r="S107" s="1"/>
    </row>
    <row r="108" spans="1:19" x14ac:dyDescent="0.2">
      <c r="A108" t="s">
        <v>19</v>
      </c>
      <c r="B108" t="s">
        <v>20</v>
      </c>
      <c r="C108">
        <v>390.34500000000003</v>
      </c>
      <c r="D108" s="2">
        <v>12655400</v>
      </c>
      <c r="E108">
        <v>110</v>
      </c>
      <c r="F108">
        <v>1104.7380000000001</v>
      </c>
      <c r="K108" t="str">
        <f t="shared" si="3"/>
        <v>BASELINE</v>
      </c>
      <c r="R108">
        <f t="shared" si="2"/>
        <v>0.96035045145738385</v>
      </c>
      <c r="S108" s="1"/>
    </row>
    <row r="109" spans="1:19" x14ac:dyDescent="0.2">
      <c r="A109" t="s">
        <v>19</v>
      </c>
      <c r="B109" t="s">
        <v>20</v>
      </c>
      <c r="C109">
        <v>388.79500000000002</v>
      </c>
      <c r="D109" s="2">
        <v>12605100</v>
      </c>
      <c r="E109">
        <v>121</v>
      </c>
      <c r="F109">
        <v>1092.26</v>
      </c>
      <c r="K109" t="str">
        <f t="shared" si="3"/>
        <v>BASELINE</v>
      </c>
      <c r="R109">
        <f t="shared" si="2"/>
        <v>0.94950330676489991</v>
      </c>
      <c r="S109" s="1"/>
    </row>
    <row r="110" spans="1:19" x14ac:dyDescent="0.2">
      <c r="A110" t="s">
        <v>19</v>
      </c>
      <c r="B110" t="s">
        <v>20</v>
      </c>
      <c r="C110">
        <v>388.70100000000002</v>
      </c>
      <c r="D110" s="2">
        <v>12602100</v>
      </c>
      <c r="E110">
        <v>121</v>
      </c>
      <c r="F110">
        <v>1094.662</v>
      </c>
      <c r="K110" t="str">
        <f t="shared" si="3"/>
        <v>BASELINE</v>
      </c>
      <c r="R110">
        <f t="shared" si="2"/>
        <v>0.95159136907867992</v>
      </c>
      <c r="S110" s="1"/>
    </row>
    <row r="111" spans="1:19" x14ac:dyDescent="0.2">
      <c r="A111" t="s">
        <v>19</v>
      </c>
      <c r="B111" t="s">
        <v>20</v>
      </c>
      <c r="C111">
        <v>388.37099999999998</v>
      </c>
      <c r="D111" s="2">
        <v>12591400</v>
      </c>
      <c r="E111">
        <v>119</v>
      </c>
      <c r="F111">
        <v>1089.4169999999999</v>
      </c>
      <c r="K111" t="str">
        <f t="shared" si="3"/>
        <v>BASELINE</v>
      </c>
      <c r="R111">
        <f t="shared" si="2"/>
        <v>0.94703188246928105</v>
      </c>
      <c r="S111" s="1"/>
    </row>
    <row r="112" spans="1:19" x14ac:dyDescent="0.2">
      <c r="A112" t="s">
        <v>19</v>
      </c>
      <c r="B112" t="s">
        <v>20</v>
      </c>
      <c r="C112">
        <v>387.68200000000002</v>
      </c>
      <c r="D112" s="2">
        <v>12569000</v>
      </c>
      <c r="E112">
        <v>123</v>
      </c>
      <c r="F112">
        <v>1092.9839999999999</v>
      </c>
      <c r="K112" t="str">
        <f t="shared" si="3"/>
        <v>BASELINE</v>
      </c>
      <c r="R112">
        <f t="shared" si="2"/>
        <v>0.95013268108429072</v>
      </c>
      <c r="S112" s="1"/>
    </row>
    <row r="113" spans="1:19" x14ac:dyDescent="0.2">
      <c r="A113" t="s">
        <v>19</v>
      </c>
      <c r="B113" t="s">
        <v>20</v>
      </c>
      <c r="C113">
        <v>389.803</v>
      </c>
      <c r="D113" s="2">
        <v>12637800</v>
      </c>
      <c r="E113">
        <v>121</v>
      </c>
      <c r="F113">
        <v>1091.489</v>
      </c>
      <c r="K113" t="str">
        <f t="shared" si="3"/>
        <v>BASELINE</v>
      </c>
      <c r="R113">
        <f t="shared" si="2"/>
        <v>0.94883307527284155</v>
      </c>
      <c r="S113" s="1"/>
    </row>
    <row r="114" spans="1:19" x14ac:dyDescent="0.2">
      <c r="A114" t="s">
        <v>19</v>
      </c>
      <c r="B114" t="s">
        <v>20</v>
      </c>
      <c r="C114">
        <v>386.64400000000001</v>
      </c>
      <c r="D114" s="2">
        <v>12535400</v>
      </c>
      <c r="E114">
        <v>109</v>
      </c>
      <c r="F114">
        <v>1090.239</v>
      </c>
      <c r="K114" t="str">
        <f t="shared" si="3"/>
        <v>BASELINE</v>
      </c>
      <c r="R114">
        <f t="shared" si="2"/>
        <v>0.94774644834019173</v>
      </c>
      <c r="S114" s="1"/>
    </row>
    <row r="115" spans="1:19" x14ac:dyDescent="0.2">
      <c r="A115" t="s">
        <v>19</v>
      </c>
      <c r="B115" t="s">
        <v>20</v>
      </c>
      <c r="C115">
        <v>385.45699999999999</v>
      </c>
      <c r="D115" s="2">
        <v>12496900</v>
      </c>
      <c r="E115">
        <v>113</v>
      </c>
      <c r="F115">
        <v>1081.941</v>
      </c>
      <c r="K115" t="str">
        <f t="shared" si="3"/>
        <v>BASELINE</v>
      </c>
      <c r="R115">
        <f t="shared" si="2"/>
        <v>0.94053298411048891</v>
      </c>
      <c r="S115" s="1"/>
    </row>
    <row r="116" spans="1:19" x14ac:dyDescent="0.2">
      <c r="A116" t="s">
        <v>19</v>
      </c>
      <c r="B116" t="s">
        <v>20</v>
      </c>
      <c r="C116">
        <v>388.68700000000001</v>
      </c>
      <c r="D116" s="2">
        <v>12601600</v>
      </c>
      <c r="E116">
        <v>113</v>
      </c>
      <c r="F116">
        <v>1097.2650000000001</v>
      </c>
      <c r="K116" t="str">
        <f t="shared" si="3"/>
        <v>BASELINE</v>
      </c>
      <c r="R116">
        <f t="shared" si="2"/>
        <v>0.95385416100323006</v>
      </c>
      <c r="S116" s="1"/>
    </row>
    <row r="117" spans="1:19" x14ac:dyDescent="0.2">
      <c r="A117" t="s">
        <v>19</v>
      </c>
      <c r="B117" t="s">
        <v>20</v>
      </c>
      <c r="C117">
        <v>387.95800000000003</v>
      </c>
      <c r="D117" s="2">
        <v>12578000</v>
      </c>
      <c r="E117">
        <v>121</v>
      </c>
      <c r="F117">
        <v>1079.9659999999999</v>
      </c>
      <c r="K117" t="str">
        <f t="shared" si="3"/>
        <v>BASELINE</v>
      </c>
      <c r="R117">
        <f t="shared" si="2"/>
        <v>0.93881611355690209</v>
      </c>
      <c r="S117" s="1"/>
    </row>
    <row r="118" spans="1:19" x14ac:dyDescent="0.2">
      <c r="A118" t="s">
        <v>19</v>
      </c>
      <c r="B118" t="s">
        <v>20</v>
      </c>
      <c r="C118">
        <v>385.74799999999999</v>
      </c>
      <c r="D118" s="2">
        <v>12506300</v>
      </c>
      <c r="E118">
        <v>111</v>
      </c>
      <c r="F118">
        <v>1087.681</v>
      </c>
      <c r="K118" t="str">
        <f t="shared" si="3"/>
        <v>BASELINE</v>
      </c>
      <c r="R118">
        <f t="shared" si="2"/>
        <v>0.94552277498521708</v>
      </c>
      <c r="S118" s="1"/>
    </row>
    <row r="119" spans="1:19" x14ac:dyDescent="0.2">
      <c r="A119" t="s">
        <v>19</v>
      </c>
      <c r="B119" t="s">
        <v>20</v>
      </c>
      <c r="C119">
        <v>386.42399999999998</v>
      </c>
      <c r="D119" s="2">
        <v>12528200</v>
      </c>
      <c r="E119">
        <v>120</v>
      </c>
      <c r="F119">
        <v>1069.521</v>
      </c>
      <c r="K119" t="str">
        <f t="shared" si="3"/>
        <v>BASELINE</v>
      </c>
      <c r="R119">
        <f t="shared" si="2"/>
        <v>0.92973625890767997</v>
      </c>
      <c r="S119" s="1"/>
    </row>
    <row r="120" spans="1:19" x14ac:dyDescent="0.2">
      <c r="A120" t="s">
        <v>19</v>
      </c>
      <c r="B120" t="s">
        <v>20</v>
      </c>
      <c r="C120">
        <v>387.09300000000002</v>
      </c>
      <c r="D120" s="2">
        <v>12549900</v>
      </c>
      <c r="E120">
        <v>123</v>
      </c>
      <c r="F120">
        <v>1081.55</v>
      </c>
      <c r="K120" t="str">
        <f t="shared" si="3"/>
        <v>BASELINE</v>
      </c>
      <c r="R120">
        <f t="shared" si="2"/>
        <v>0.94019308720595596</v>
      </c>
      <c r="S120" s="1"/>
    </row>
    <row r="121" spans="1:19" x14ac:dyDescent="0.2">
      <c r="A121" t="s">
        <v>19</v>
      </c>
      <c r="B121" t="s">
        <v>20</v>
      </c>
      <c r="C121">
        <v>384.40300000000002</v>
      </c>
      <c r="D121" s="2">
        <v>12462700</v>
      </c>
      <c r="E121">
        <v>112</v>
      </c>
      <c r="F121">
        <v>1095.905</v>
      </c>
      <c r="K121" t="str">
        <f t="shared" si="3"/>
        <v>BASELINE</v>
      </c>
      <c r="R121">
        <f t="shared" si="2"/>
        <v>0.95267191090050685</v>
      </c>
      <c r="S121" s="1"/>
    </row>
    <row r="122" spans="1:19" x14ac:dyDescent="0.2">
      <c r="A122" t="s">
        <v>19</v>
      </c>
      <c r="B122" t="s">
        <v>20</v>
      </c>
      <c r="C122">
        <v>385.38099999999997</v>
      </c>
      <c r="D122" s="2">
        <v>12494400</v>
      </c>
      <c r="E122">
        <v>120</v>
      </c>
      <c r="F122">
        <v>1088.8800000000001</v>
      </c>
      <c r="K122" t="str">
        <f t="shared" si="3"/>
        <v>BASELINE</v>
      </c>
      <c r="R122">
        <f t="shared" si="2"/>
        <v>0.94656506753901481</v>
      </c>
      <c r="S122" s="1"/>
    </row>
    <row r="123" spans="1:19" x14ac:dyDescent="0.2">
      <c r="A123" t="s">
        <v>19</v>
      </c>
      <c r="B123" t="s">
        <v>20</v>
      </c>
      <c r="C123">
        <v>383.40300000000002</v>
      </c>
      <c r="D123" s="2">
        <v>12430300</v>
      </c>
      <c r="E123">
        <v>102</v>
      </c>
      <c r="F123">
        <v>1084.201</v>
      </c>
      <c r="K123" t="str">
        <f t="shared" si="3"/>
        <v>BASELINE</v>
      </c>
      <c r="R123">
        <f t="shared" si="2"/>
        <v>0.94249760560471985</v>
      </c>
      <c r="S123" s="1"/>
    </row>
    <row r="124" spans="1:19" x14ac:dyDescent="0.2">
      <c r="A124" t="s">
        <v>19</v>
      </c>
      <c r="B124" t="s">
        <v>20</v>
      </c>
      <c r="C124">
        <v>380.21300000000002</v>
      </c>
      <c r="D124" s="2">
        <v>12326900</v>
      </c>
      <c r="E124">
        <v>117</v>
      </c>
      <c r="F124">
        <v>1094.2270000000001</v>
      </c>
      <c r="K124" t="str">
        <f t="shared" si="3"/>
        <v>BASELINE</v>
      </c>
      <c r="R124">
        <f t="shared" si="2"/>
        <v>0.95121322290611787</v>
      </c>
      <c r="S124" s="1"/>
    </row>
    <row r="125" spans="1:19" x14ac:dyDescent="0.2">
      <c r="A125" t="s">
        <v>19</v>
      </c>
      <c r="B125" t="s">
        <v>20</v>
      </c>
      <c r="C125">
        <v>379.78899999999999</v>
      </c>
      <c r="D125" s="2">
        <v>12313200</v>
      </c>
      <c r="E125">
        <v>118</v>
      </c>
      <c r="F125">
        <v>1085.2429999999999</v>
      </c>
      <c r="K125" t="str">
        <f t="shared" si="3"/>
        <v>BASELINE</v>
      </c>
      <c r="R125">
        <f t="shared" si="2"/>
        <v>0.94340341781577675</v>
      </c>
      <c r="S125" s="1"/>
    </row>
    <row r="126" spans="1:19" x14ac:dyDescent="0.2">
      <c r="A126" t="s">
        <v>19</v>
      </c>
      <c r="B126" t="s">
        <v>20</v>
      </c>
      <c r="C126">
        <v>381.65300000000002</v>
      </c>
      <c r="D126" s="2">
        <v>12373600</v>
      </c>
      <c r="E126">
        <v>110</v>
      </c>
      <c r="F126">
        <v>1088.375</v>
      </c>
      <c r="K126" t="str">
        <f t="shared" si="3"/>
        <v>BASELINE</v>
      </c>
      <c r="R126">
        <f t="shared" si="2"/>
        <v>0.94612607025822426</v>
      </c>
      <c r="S126" s="1"/>
    </row>
    <row r="127" spans="1:19" x14ac:dyDescent="0.2">
      <c r="A127" t="s">
        <v>19</v>
      </c>
      <c r="B127" t="s">
        <v>20</v>
      </c>
      <c r="C127">
        <v>383.29</v>
      </c>
      <c r="D127" s="2">
        <v>12426600</v>
      </c>
      <c r="E127">
        <v>113</v>
      </c>
      <c r="F127">
        <v>1083.193</v>
      </c>
      <c r="K127" t="str">
        <f t="shared" si="3"/>
        <v>BASELINE</v>
      </c>
      <c r="R127">
        <f t="shared" si="2"/>
        <v>0.94162134964623101</v>
      </c>
      <c r="S127" s="1"/>
    </row>
    <row r="128" spans="1:19" x14ac:dyDescent="0.2">
      <c r="A128" t="s">
        <v>19</v>
      </c>
      <c r="B128" t="s">
        <v>20</v>
      </c>
      <c r="C128">
        <v>383.25</v>
      </c>
      <c r="D128" s="2">
        <v>12425400</v>
      </c>
      <c r="E128">
        <v>112</v>
      </c>
      <c r="F128">
        <v>1072.7460000000001</v>
      </c>
      <c r="K128" t="str">
        <f t="shared" si="3"/>
        <v>BASELINE</v>
      </c>
      <c r="R128">
        <f t="shared" si="2"/>
        <v>0.93253975639391673</v>
      </c>
      <c r="S128" s="1"/>
    </row>
    <row r="129" spans="1:19" x14ac:dyDescent="0.2">
      <c r="A129" t="s">
        <v>19</v>
      </c>
      <c r="B129" t="s">
        <v>20</v>
      </c>
      <c r="C129">
        <v>379.50599999999997</v>
      </c>
      <c r="D129" s="2">
        <v>12304000</v>
      </c>
      <c r="E129">
        <v>117</v>
      </c>
      <c r="F129">
        <v>1082.202</v>
      </c>
      <c r="K129" t="str">
        <f t="shared" si="3"/>
        <v>BASELINE</v>
      </c>
      <c r="R129">
        <f t="shared" si="2"/>
        <v>0.94075987181402621</v>
      </c>
      <c r="S129" s="1"/>
    </row>
    <row r="130" spans="1:19" x14ac:dyDescent="0.2">
      <c r="A130" t="s">
        <v>19</v>
      </c>
      <c r="B130" t="s">
        <v>20</v>
      </c>
      <c r="C130">
        <v>383.15100000000001</v>
      </c>
      <c r="D130" s="2">
        <v>12422100</v>
      </c>
      <c r="E130">
        <v>117</v>
      </c>
      <c r="F130">
        <v>1078.6769999999999</v>
      </c>
      <c r="K130" t="str">
        <f t="shared" si="3"/>
        <v>BASELINE</v>
      </c>
      <c r="R130">
        <f t="shared" ref="R130:R193" si="4">F130/$H$2</f>
        <v>0.93769558386395357</v>
      </c>
      <c r="S130" s="1"/>
    </row>
    <row r="131" spans="1:19" x14ac:dyDescent="0.2">
      <c r="A131" t="s">
        <v>19</v>
      </c>
      <c r="B131" t="s">
        <v>20</v>
      </c>
      <c r="C131">
        <v>379.68700000000001</v>
      </c>
      <c r="D131" s="2">
        <v>12309800</v>
      </c>
      <c r="E131">
        <v>112</v>
      </c>
      <c r="F131">
        <v>1073.067</v>
      </c>
      <c r="K131" t="str">
        <f t="shared" ref="K131:K194" si="5">IF(F131&gt;($H$4+$H$4*(0.3+ABS($I$12))), F131, "BASELINE")</f>
        <v>BASELINE</v>
      </c>
      <c r="R131">
        <f t="shared" si="4"/>
        <v>0.93281880219022106</v>
      </c>
      <c r="S131" s="1"/>
    </row>
    <row r="132" spans="1:19" x14ac:dyDescent="0.2">
      <c r="A132" t="s">
        <v>19</v>
      </c>
      <c r="B132" t="s">
        <v>20</v>
      </c>
      <c r="C132">
        <v>382.68</v>
      </c>
      <c r="D132" s="2">
        <v>12406900</v>
      </c>
      <c r="E132">
        <v>120</v>
      </c>
      <c r="F132">
        <v>1082.9839999999999</v>
      </c>
      <c r="K132" t="str">
        <f t="shared" si="5"/>
        <v>BASELINE</v>
      </c>
      <c r="R132">
        <f t="shared" si="4"/>
        <v>0.94143966562309189</v>
      </c>
      <c r="S132" s="1"/>
    </row>
    <row r="133" spans="1:19" x14ac:dyDescent="0.2">
      <c r="A133" t="s">
        <v>19</v>
      </c>
      <c r="B133" t="s">
        <v>20</v>
      </c>
      <c r="C133">
        <v>380.4</v>
      </c>
      <c r="D133" s="2">
        <v>12332900</v>
      </c>
      <c r="E133">
        <v>113</v>
      </c>
      <c r="F133">
        <v>1077.0150000000001</v>
      </c>
      <c r="K133" t="str">
        <f t="shared" si="5"/>
        <v>BASELINE</v>
      </c>
      <c r="R133">
        <f t="shared" si="4"/>
        <v>0.93625080469430244</v>
      </c>
      <c r="S133" s="1"/>
    </row>
    <row r="134" spans="1:19" x14ac:dyDescent="0.2">
      <c r="A134" t="s">
        <v>19</v>
      </c>
      <c r="B134" t="s">
        <v>20</v>
      </c>
      <c r="C134">
        <v>383.851</v>
      </c>
      <c r="D134" s="2">
        <v>12444800</v>
      </c>
      <c r="E134">
        <v>118</v>
      </c>
      <c r="F134">
        <v>1059.6130000000001</v>
      </c>
      <c r="K134" t="str">
        <f t="shared" si="5"/>
        <v>BASELINE</v>
      </c>
      <c r="R134">
        <f t="shared" si="4"/>
        <v>0.92112321918872431</v>
      </c>
      <c r="S134" s="1"/>
    </row>
    <row r="135" spans="1:19" x14ac:dyDescent="0.2">
      <c r="A135" t="s">
        <v>19</v>
      </c>
      <c r="B135" t="s">
        <v>20</v>
      </c>
      <c r="C135">
        <v>379.26</v>
      </c>
      <c r="D135" s="2">
        <v>12296000</v>
      </c>
      <c r="E135">
        <v>108</v>
      </c>
      <c r="F135">
        <v>1067.3800000000001</v>
      </c>
      <c r="K135" t="str">
        <f t="shared" si="5"/>
        <v>BASELINE</v>
      </c>
      <c r="R135">
        <f t="shared" si="4"/>
        <v>0.92787508429743748</v>
      </c>
      <c r="S135" s="1"/>
    </row>
    <row r="136" spans="1:19" x14ac:dyDescent="0.2">
      <c r="A136" t="s">
        <v>19</v>
      </c>
      <c r="B136" t="s">
        <v>20</v>
      </c>
      <c r="C136">
        <v>379.65800000000002</v>
      </c>
      <c r="D136" s="2">
        <v>12308900</v>
      </c>
      <c r="E136">
        <v>124</v>
      </c>
      <c r="F136">
        <v>1071.1320000000001</v>
      </c>
      <c r="K136" t="str">
        <f t="shared" si="5"/>
        <v>BASELINE</v>
      </c>
      <c r="R136">
        <f t="shared" si="4"/>
        <v>0.93113670369847923</v>
      </c>
      <c r="S136" s="1"/>
    </row>
    <row r="137" spans="1:19" x14ac:dyDescent="0.2">
      <c r="A137" t="s">
        <v>19</v>
      </c>
      <c r="B137" t="s">
        <v>20</v>
      </c>
      <c r="C137">
        <v>379.12599999999998</v>
      </c>
      <c r="D137" s="2">
        <v>12291600</v>
      </c>
      <c r="E137">
        <v>114</v>
      </c>
      <c r="F137">
        <v>1070.8420000000001</v>
      </c>
      <c r="K137" t="str">
        <f t="shared" si="5"/>
        <v>BASELINE</v>
      </c>
      <c r="R137">
        <f t="shared" si="4"/>
        <v>0.9308846062501045</v>
      </c>
      <c r="S137" s="1"/>
    </row>
    <row r="138" spans="1:19" x14ac:dyDescent="0.2">
      <c r="A138" t="s">
        <v>19</v>
      </c>
      <c r="B138" t="s">
        <v>20</v>
      </c>
      <c r="C138">
        <v>380.834</v>
      </c>
      <c r="D138" s="2">
        <v>12347000</v>
      </c>
      <c r="E138">
        <v>121</v>
      </c>
      <c r="F138">
        <v>1073.037</v>
      </c>
      <c r="K138" t="str">
        <f t="shared" si="5"/>
        <v>BASELINE</v>
      </c>
      <c r="R138">
        <f t="shared" si="4"/>
        <v>0.93279272314383754</v>
      </c>
      <c r="S138" s="1"/>
    </row>
    <row r="139" spans="1:19" x14ac:dyDescent="0.2">
      <c r="A139" t="s">
        <v>19</v>
      </c>
      <c r="B139" t="s">
        <v>20</v>
      </c>
      <c r="C139">
        <v>381.93099999999998</v>
      </c>
      <c r="D139" s="2">
        <v>12382600</v>
      </c>
      <c r="E139">
        <v>117</v>
      </c>
      <c r="F139">
        <v>1063.135</v>
      </c>
      <c r="K139" t="str">
        <f t="shared" si="5"/>
        <v>BASELINE</v>
      </c>
      <c r="R139">
        <f t="shared" si="4"/>
        <v>0.92418489923415847</v>
      </c>
      <c r="S139" s="1"/>
    </row>
    <row r="140" spans="1:19" x14ac:dyDescent="0.2">
      <c r="A140" t="s">
        <v>19</v>
      </c>
      <c r="B140" t="s">
        <v>20</v>
      </c>
      <c r="C140">
        <v>377.46300000000002</v>
      </c>
      <c r="D140" s="2">
        <v>12237700</v>
      </c>
      <c r="E140">
        <v>117</v>
      </c>
      <c r="F140">
        <v>1063.3240000000001</v>
      </c>
      <c r="K140" t="str">
        <f t="shared" si="5"/>
        <v>BASELINE</v>
      </c>
      <c r="R140">
        <f t="shared" si="4"/>
        <v>0.92434919722637521</v>
      </c>
      <c r="S140" s="1"/>
    </row>
    <row r="141" spans="1:19" x14ac:dyDescent="0.2">
      <c r="A141" t="s">
        <v>19</v>
      </c>
      <c r="B141" t="s">
        <v>20</v>
      </c>
      <c r="C141">
        <v>378.05500000000001</v>
      </c>
      <c r="D141" s="2">
        <v>12256900</v>
      </c>
      <c r="E141">
        <v>108</v>
      </c>
      <c r="F141">
        <v>1059.25</v>
      </c>
      <c r="K141" t="str">
        <f t="shared" si="5"/>
        <v>BASELINE</v>
      </c>
      <c r="R141">
        <f t="shared" si="4"/>
        <v>0.92080766272748271</v>
      </c>
      <c r="S141" s="1"/>
    </row>
    <row r="142" spans="1:19" x14ac:dyDescent="0.2">
      <c r="A142" t="s">
        <v>19</v>
      </c>
      <c r="B142" t="s">
        <v>20</v>
      </c>
      <c r="C142">
        <v>377.62900000000002</v>
      </c>
      <c r="D142" s="2">
        <v>12243100</v>
      </c>
      <c r="E142">
        <v>111</v>
      </c>
      <c r="F142">
        <v>1084.9870000000001</v>
      </c>
      <c r="K142" t="str">
        <f t="shared" si="5"/>
        <v>BASELINE</v>
      </c>
      <c r="R142">
        <f t="shared" si="4"/>
        <v>0.94318087661997008</v>
      </c>
      <c r="S142" s="1"/>
    </row>
    <row r="143" spans="1:19" x14ac:dyDescent="0.2">
      <c r="A143" t="s">
        <v>19</v>
      </c>
      <c r="B143" t="s">
        <v>20</v>
      </c>
      <c r="C143">
        <v>378.92</v>
      </c>
      <c r="D143" s="2">
        <v>12285000</v>
      </c>
      <c r="E143">
        <v>123</v>
      </c>
      <c r="F143">
        <v>1151.7270000000001</v>
      </c>
      <c r="K143" t="str">
        <f t="shared" si="5"/>
        <v>BASELINE</v>
      </c>
      <c r="R143">
        <f t="shared" si="4"/>
        <v>1.001198061808011</v>
      </c>
      <c r="S143" s="1"/>
    </row>
    <row r="144" spans="1:19" x14ac:dyDescent="0.2">
      <c r="A144" t="s">
        <v>19</v>
      </c>
      <c r="B144" t="s">
        <v>20</v>
      </c>
      <c r="C144">
        <v>377.36</v>
      </c>
      <c r="D144" s="2">
        <v>12234400</v>
      </c>
      <c r="E144">
        <v>116</v>
      </c>
      <c r="F144">
        <v>1627.21</v>
      </c>
      <c r="K144">
        <f t="shared" si="5"/>
        <v>1627.21</v>
      </c>
      <c r="R144">
        <f t="shared" si="4"/>
        <v>1.4145361688617297</v>
      </c>
      <c r="S144" s="1"/>
    </row>
    <row r="145" spans="1:19" x14ac:dyDescent="0.2">
      <c r="A145" t="s">
        <v>19</v>
      </c>
      <c r="B145" t="s">
        <v>20</v>
      </c>
      <c r="C145">
        <v>378.67500000000001</v>
      </c>
      <c r="D145" s="2">
        <v>12277000</v>
      </c>
      <c r="E145">
        <v>119</v>
      </c>
      <c r="F145">
        <v>2900.9949999999999</v>
      </c>
      <c r="K145">
        <f t="shared" si="5"/>
        <v>2900.9949999999999</v>
      </c>
      <c r="R145">
        <f t="shared" si="4"/>
        <v>2.5218394387860408</v>
      </c>
      <c r="S145" s="1"/>
    </row>
    <row r="146" spans="1:19" x14ac:dyDescent="0.2">
      <c r="A146" t="s">
        <v>19</v>
      </c>
      <c r="B146" t="s">
        <v>20</v>
      </c>
      <c r="C146">
        <v>380.12400000000002</v>
      </c>
      <c r="D146" s="2">
        <v>12324000</v>
      </c>
      <c r="E146">
        <v>121</v>
      </c>
      <c r="F146">
        <v>3974.8989999999999</v>
      </c>
      <c r="K146">
        <f t="shared" si="5"/>
        <v>3974.8989999999999</v>
      </c>
      <c r="R146">
        <f t="shared" si="4"/>
        <v>3.4553858463703642</v>
      </c>
      <c r="S146" s="1"/>
    </row>
    <row r="147" spans="1:19" x14ac:dyDescent="0.2">
      <c r="A147" t="s">
        <v>19</v>
      </c>
      <c r="B147" t="s">
        <v>20</v>
      </c>
      <c r="C147">
        <v>377.36500000000001</v>
      </c>
      <c r="D147" s="2">
        <v>12234500</v>
      </c>
      <c r="E147">
        <v>121</v>
      </c>
      <c r="F147">
        <v>4897.5420000000004</v>
      </c>
      <c r="K147">
        <f t="shared" si="5"/>
        <v>4897.5420000000004</v>
      </c>
      <c r="R147">
        <f t="shared" si="4"/>
        <v>4.257440832787049</v>
      </c>
      <c r="S147" s="1"/>
    </row>
    <row r="148" spans="1:19" x14ac:dyDescent="0.2">
      <c r="A148" t="s">
        <v>19</v>
      </c>
      <c r="B148" t="s">
        <v>20</v>
      </c>
      <c r="C148">
        <v>376.214</v>
      </c>
      <c r="D148" s="2">
        <v>12197200</v>
      </c>
      <c r="E148">
        <v>109</v>
      </c>
      <c r="F148">
        <v>5639.1850000000004</v>
      </c>
      <c r="K148">
        <f t="shared" si="5"/>
        <v>5639.1850000000004</v>
      </c>
      <c r="R148">
        <f t="shared" si="4"/>
        <v>4.9021522393560346</v>
      </c>
      <c r="S148" s="1"/>
    </row>
    <row r="149" spans="1:19" x14ac:dyDescent="0.2">
      <c r="A149" t="s">
        <v>19</v>
      </c>
      <c r="B149" t="s">
        <v>20</v>
      </c>
      <c r="C149">
        <v>380.56099999999998</v>
      </c>
      <c r="D149" s="2">
        <v>12338200</v>
      </c>
      <c r="E149">
        <v>117</v>
      </c>
      <c r="F149">
        <v>6255.3450000000003</v>
      </c>
      <c r="K149">
        <f t="shared" si="5"/>
        <v>6255.3450000000003</v>
      </c>
      <c r="R149">
        <f t="shared" si="4"/>
        <v>5.4377810800132602</v>
      </c>
      <c r="S149" s="1"/>
    </row>
    <row r="150" spans="1:19" x14ac:dyDescent="0.2">
      <c r="A150" t="s">
        <v>19</v>
      </c>
      <c r="B150" t="s">
        <v>20</v>
      </c>
      <c r="C150">
        <v>377.62</v>
      </c>
      <c r="D150" s="2">
        <v>12242800</v>
      </c>
      <c r="E150">
        <v>105</v>
      </c>
      <c r="F150">
        <v>6947.1030000000001</v>
      </c>
      <c r="K150">
        <f t="shared" si="5"/>
        <v>6947.1030000000001</v>
      </c>
      <c r="R150">
        <f t="shared" si="4"/>
        <v>6.0391273789540554</v>
      </c>
      <c r="S150" s="1"/>
    </row>
    <row r="151" spans="1:19" x14ac:dyDescent="0.2">
      <c r="A151" t="s">
        <v>19</v>
      </c>
      <c r="B151" t="s">
        <v>20</v>
      </c>
      <c r="C151">
        <v>380.916</v>
      </c>
      <c r="D151" s="2">
        <v>12349700</v>
      </c>
      <c r="E151">
        <v>115</v>
      </c>
      <c r="F151">
        <v>7531.4390000000003</v>
      </c>
      <c r="K151">
        <f t="shared" si="5"/>
        <v>7531.4390000000003</v>
      </c>
      <c r="R151">
        <f t="shared" si="4"/>
        <v>6.5470915672075618</v>
      </c>
      <c r="S151" s="1"/>
    </row>
    <row r="152" spans="1:19" x14ac:dyDescent="0.2">
      <c r="A152" t="s">
        <v>19</v>
      </c>
      <c r="B152" t="s">
        <v>20</v>
      </c>
      <c r="C152">
        <v>376.17399999999998</v>
      </c>
      <c r="D152" s="2">
        <v>12195900</v>
      </c>
      <c r="E152">
        <v>104</v>
      </c>
      <c r="F152">
        <v>8053.1120000000001</v>
      </c>
      <c r="K152">
        <f t="shared" si="5"/>
        <v>8053.1120000000001</v>
      </c>
      <c r="R152">
        <f t="shared" si="4"/>
        <v>7.0005827126765574</v>
      </c>
      <c r="S152" s="1"/>
    </row>
    <row r="153" spans="1:19" x14ac:dyDescent="0.2">
      <c r="A153" t="s">
        <v>19</v>
      </c>
      <c r="B153" t="s">
        <v>20</v>
      </c>
      <c r="C153">
        <v>377.62099999999998</v>
      </c>
      <c r="D153" s="2">
        <v>12242900</v>
      </c>
      <c r="E153">
        <v>126</v>
      </c>
      <c r="F153">
        <v>8458.43</v>
      </c>
      <c r="K153">
        <f t="shared" si="5"/>
        <v>8458.43</v>
      </c>
      <c r="R153">
        <f t="shared" si="4"/>
        <v>7.3529262767467758</v>
      </c>
      <c r="S153" s="1"/>
    </row>
    <row r="154" spans="1:19" x14ac:dyDescent="0.2">
      <c r="A154" t="s">
        <v>19</v>
      </c>
      <c r="B154" t="s">
        <v>20</v>
      </c>
      <c r="C154">
        <v>381.75299999999999</v>
      </c>
      <c r="D154" s="2">
        <v>12376800</v>
      </c>
      <c r="E154">
        <v>118</v>
      </c>
      <c r="F154">
        <v>8608.8829999999998</v>
      </c>
      <c r="K154">
        <f t="shared" si="5"/>
        <v>8608.8829999999998</v>
      </c>
      <c r="R154">
        <f t="shared" si="4"/>
        <v>7.483715302265149</v>
      </c>
      <c r="S154" s="1"/>
    </row>
    <row r="155" spans="1:19" x14ac:dyDescent="0.2">
      <c r="A155" t="s">
        <v>19</v>
      </c>
      <c r="B155" t="s">
        <v>20</v>
      </c>
      <c r="C155">
        <v>376.57799999999997</v>
      </c>
      <c r="D155" s="2">
        <v>12209100</v>
      </c>
      <c r="E155">
        <v>103</v>
      </c>
      <c r="F155">
        <v>8642.1579999999994</v>
      </c>
      <c r="K155">
        <f t="shared" si="5"/>
        <v>8642.1579999999994</v>
      </c>
      <c r="R155">
        <f t="shared" si="4"/>
        <v>7.5126413112122883</v>
      </c>
      <c r="S155" s="1"/>
    </row>
    <row r="156" spans="1:19" x14ac:dyDescent="0.2">
      <c r="A156" t="s">
        <v>19</v>
      </c>
      <c r="B156" t="s">
        <v>20</v>
      </c>
      <c r="C156">
        <v>382.32100000000003</v>
      </c>
      <c r="D156" s="2">
        <v>12395200</v>
      </c>
      <c r="E156">
        <v>105</v>
      </c>
      <c r="F156">
        <v>8625.366</v>
      </c>
      <c r="K156">
        <f t="shared" si="5"/>
        <v>8625.366</v>
      </c>
      <c r="R156">
        <f t="shared" si="4"/>
        <v>7.4980439996498438</v>
      </c>
      <c r="S156" s="1"/>
    </row>
    <row r="157" spans="1:19" x14ac:dyDescent="0.2">
      <c r="A157" t="s">
        <v>19</v>
      </c>
      <c r="B157" t="s">
        <v>20</v>
      </c>
      <c r="C157">
        <v>387.065</v>
      </c>
      <c r="D157" s="2">
        <v>12549000</v>
      </c>
      <c r="E157">
        <v>116</v>
      </c>
      <c r="F157">
        <v>8533.3379999999997</v>
      </c>
      <c r="K157">
        <f t="shared" si="5"/>
        <v>8533.3379999999997</v>
      </c>
      <c r="R157">
        <f t="shared" si="4"/>
        <v>7.4180439169635228</v>
      </c>
      <c r="S157" s="1"/>
    </row>
    <row r="158" spans="1:19" x14ac:dyDescent="0.2">
      <c r="A158" t="s">
        <v>19</v>
      </c>
      <c r="B158" t="s">
        <v>20</v>
      </c>
      <c r="C158">
        <v>389.08199999999999</v>
      </c>
      <c r="D158" s="2">
        <v>12614400</v>
      </c>
      <c r="E158">
        <v>115</v>
      </c>
      <c r="F158">
        <v>8383.4249999999993</v>
      </c>
      <c r="K158">
        <f t="shared" si="5"/>
        <v>8383.4249999999993</v>
      </c>
      <c r="R158">
        <f t="shared" si="4"/>
        <v>7.2877243142800525</v>
      </c>
      <c r="S158" s="1"/>
    </row>
    <row r="159" spans="1:19" x14ac:dyDescent="0.2">
      <c r="A159" t="s">
        <v>19</v>
      </c>
      <c r="B159" t="s">
        <v>20</v>
      </c>
      <c r="C159">
        <v>389.02800000000002</v>
      </c>
      <c r="D159" s="2">
        <v>12612700</v>
      </c>
      <c r="E159">
        <v>121</v>
      </c>
      <c r="F159">
        <v>8108.2250000000004</v>
      </c>
      <c r="K159">
        <f t="shared" si="5"/>
        <v>8108.2250000000004</v>
      </c>
      <c r="R159">
        <f t="shared" si="4"/>
        <v>7.0484925287878628</v>
      </c>
      <c r="S159" s="1"/>
    </row>
    <row r="160" spans="1:19" x14ac:dyDescent="0.2">
      <c r="A160" t="s">
        <v>19</v>
      </c>
      <c r="B160" t="s">
        <v>20</v>
      </c>
      <c r="C160">
        <v>386.65100000000001</v>
      </c>
      <c r="D160" s="2">
        <v>12535600</v>
      </c>
      <c r="E160">
        <v>110</v>
      </c>
      <c r="F160">
        <v>7848.7290000000003</v>
      </c>
      <c r="K160">
        <f t="shared" si="5"/>
        <v>7848.7290000000003</v>
      </c>
      <c r="R160">
        <f t="shared" si="4"/>
        <v>6.8229122547759387</v>
      </c>
      <c r="S160" s="1"/>
    </row>
    <row r="161" spans="1:19" x14ac:dyDescent="0.2">
      <c r="A161" t="s">
        <v>19</v>
      </c>
      <c r="B161" t="s">
        <v>20</v>
      </c>
      <c r="C161">
        <v>385.80200000000002</v>
      </c>
      <c r="D161" s="2">
        <v>12508100</v>
      </c>
      <c r="E161">
        <v>101</v>
      </c>
      <c r="F161">
        <v>7620.7269999999999</v>
      </c>
      <c r="K161">
        <f t="shared" si="5"/>
        <v>7620.7269999999999</v>
      </c>
      <c r="R161">
        <f t="shared" si="4"/>
        <v>6.6247097636575134</v>
      </c>
      <c r="S161" s="1"/>
    </row>
    <row r="162" spans="1:19" x14ac:dyDescent="0.2">
      <c r="A162" t="s">
        <v>19</v>
      </c>
      <c r="B162" t="s">
        <v>20</v>
      </c>
      <c r="C162">
        <v>394.78800000000001</v>
      </c>
      <c r="D162" s="2">
        <v>12799400</v>
      </c>
      <c r="E162">
        <v>123</v>
      </c>
      <c r="F162">
        <v>7145.7110000000002</v>
      </c>
      <c r="K162">
        <f t="shared" si="5"/>
        <v>7145.7110000000002</v>
      </c>
      <c r="R162">
        <f t="shared" si="4"/>
        <v>6.211777620425833</v>
      </c>
      <c r="S162" s="1"/>
    </row>
    <row r="163" spans="1:19" x14ac:dyDescent="0.2">
      <c r="A163" t="s">
        <v>19</v>
      </c>
      <c r="B163" t="s">
        <v>20</v>
      </c>
      <c r="C163">
        <v>389.45400000000001</v>
      </c>
      <c r="D163" s="2">
        <v>12626500</v>
      </c>
      <c r="E163">
        <v>118</v>
      </c>
      <c r="F163">
        <v>6785.88</v>
      </c>
      <c r="K163">
        <f t="shared" si="5"/>
        <v>6785.88</v>
      </c>
      <c r="R163">
        <f t="shared" si="4"/>
        <v>5.8989759757839701</v>
      </c>
      <c r="S163" s="1"/>
    </row>
    <row r="164" spans="1:19" x14ac:dyDescent="0.2">
      <c r="A164" t="s">
        <v>19</v>
      </c>
      <c r="B164" t="s">
        <v>20</v>
      </c>
      <c r="C164">
        <v>384.10700000000003</v>
      </c>
      <c r="D164" s="2">
        <v>12453100</v>
      </c>
      <c r="E164">
        <v>113</v>
      </c>
      <c r="F164">
        <v>6613.3109999999997</v>
      </c>
      <c r="K164">
        <f t="shared" si="5"/>
        <v>6613.3109999999997</v>
      </c>
      <c r="R164">
        <f t="shared" si="4"/>
        <v>5.7489614772716084</v>
      </c>
      <c r="S164" s="1"/>
    </row>
    <row r="165" spans="1:19" x14ac:dyDescent="0.2">
      <c r="A165" t="s">
        <v>19</v>
      </c>
      <c r="B165" t="s">
        <v>20</v>
      </c>
      <c r="C165">
        <v>385.59300000000002</v>
      </c>
      <c r="D165" s="2">
        <v>12501300</v>
      </c>
      <c r="E165">
        <v>105</v>
      </c>
      <c r="F165">
        <v>6471.3109999999997</v>
      </c>
      <c r="K165">
        <f t="shared" si="5"/>
        <v>6471.3109999999997</v>
      </c>
      <c r="R165">
        <f t="shared" si="4"/>
        <v>5.6255206577225856</v>
      </c>
      <c r="S165" s="1"/>
    </row>
    <row r="166" spans="1:19" x14ac:dyDescent="0.2">
      <c r="A166" t="s">
        <v>19</v>
      </c>
      <c r="B166" t="s">
        <v>20</v>
      </c>
      <c r="C166">
        <v>388.79599999999999</v>
      </c>
      <c r="D166" s="2">
        <v>12605200</v>
      </c>
      <c r="E166">
        <v>115</v>
      </c>
      <c r="F166">
        <v>6290.1019999999999</v>
      </c>
      <c r="K166">
        <f t="shared" si="5"/>
        <v>6290.1019999999999</v>
      </c>
      <c r="R166">
        <f t="shared" si="4"/>
        <v>5.4679953938517478</v>
      </c>
      <c r="S166" s="1"/>
    </row>
    <row r="167" spans="1:19" x14ac:dyDescent="0.2">
      <c r="A167" t="s">
        <v>19</v>
      </c>
      <c r="B167" t="s">
        <v>20</v>
      </c>
      <c r="C167">
        <v>389.12</v>
      </c>
      <c r="D167" s="2">
        <v>12615700</v>
      </c>
      <c r="E167">
        <v>113</v>
      </c>
      <c r="F167">
        <v>6097.2179999999998</v>
      </c>
      <c r="K167">
        <f t="shared" si="5"/>
        <v>6097.2179999999998</v>
      </c>
      <c r="R167">
        <f t="shared" si="4"/>
        <v>5.3003210344299614</v>
      </c>
      <c r="S167" s="1"/>
    </row>
    <row r="168" spans="1:19" x14ac:dyDescent="0.2">
      <c r="A168" t="s">
        <v>19</v>
      </c>
      <c r="B168" t="s">
        <v>20</v>
      </c>
      <c r="C168">
        <v>380.077</v>
      </c>
      <c r="D168" s="2">
        <v>12322500</v>
      </c>
      <c r="E168">
        <v>114</v>
      </c>
      <c r="F168">
        <v>5933.5879999999997</v>
      </c>
      <c r="K168">
        <f t="shared" si="5"/>
        <v>5933.5879999999997</v>
      </c>
      <c r="R168">
        <f t="shared" si="4"/>
        <v>5.1580772224383651</v>
      </c>
      <c r="S168" s="1"/>
    </row>
    <row r="169" spans="1:19" x14ac:dyDescent="0.2">
      <c r="A169" t="s">
        <v>19</v>
      </c>
      <c r="B169" t="s">
        <v>20</v>
      </c>
      <c r="C169">
        <v>385.62</v>
      </c>
      <c r="D169" s="2">
        <v>12502200</v>
      </c>
      <c r="E169">
        <v>123</v>
      </c>
      <c r="F169">
        <v>5780.8450000000003</v>
      </c>
      <c r="K169">
        <f t="shared" si="5"/>
        <v>5780.8450000000003</v>
      </c>
      <c r="R169">
        <f t="shared" si="4"/>
        <v>5.0252974963793768</v>
      </c>
      <c r="S169" s="1"/>
    </row>
    <row r="170" spans="1:19" x14ac:dyDescent="0.2">
      <c r="A170" t="s">
        <v>19</v>
      </c>
      <c r="B170" t="s">
        <v>20</v>
      </c>
      <c r="C170">
        <v>384.96</v>
      </c>
      <c r="D170" s="2">
        <v>12480800</v>
      </c>
      <c r="E170">
        <v>106</v>
      </c>
      <c r="F170">
        <v>5671.6949999999997</v>
      </c>
      <c r="K170">
        <f t="shared" si="5"/>
        <v>5671.6949999999997</v>
      </c>
      <c r="R170">
        <f t="shared" si="4"/>
        <v>4.930413232620392</v>
      </c>
      <c r="S170" s="1"/>
    </row>
    <row r="171" spans="1:19" x14ac:dyDescent="0.2">
      <c r="A171" t="s">
        <v>19</v>
      </c>
      <c r="B171" t="s">
        <v>20</v>
      </c>
      <c r="C171">
        <v>383.08100000000002</v>
      </c>
      <c r="D171" s="2">
        <v>12419900</v>
      </c>
      <c r="E171">
        <v>106</v>
      </c>
      <c r="F171">
        <v>5486.2039999999997</v>
      </c>
      <c r="K171">
        <f t="shared" si="5"/>
        <v>5486.2039999999997</v>
      </c>
      <c r="R171">
        <f t="shared" si="4"/>
        <v>4.769165619529069</v>
      </c>
      <c r="S171" s="1"/>
    </row>
    <row r="172" spans="1:19" x14ac:dyDescent="0.2">
      <c r="A172" t="s">
        <v>19</v>
      </c>
      <c r="B172" t="s">
        <v>20</v>
      </c>
      <c r="C172">
        <v>383.36799999999999</v>
      </c>
      <c r="D172" s="2">
        <v>12429200</v>
      </c>
      <c r="E172">
        <v>115</v>
      </c>
      <c r="F172">
        <v>5290.3680000000004</v>
      </c>
      <c r="K172">
        <f t="shared" si="5"/>
        <v>5290.3680000000004</v>
      </c>
      <c r="R172">
        <f t="shared" si="4"/>
        <v>4.5989250819431371</v>
      </c>
      <c r="S172" s="1"/>
    </row>
    <row r="173" spans="1:19" x14ac:dyDescent="0.2">
      <c r="A173" t="s">
        <v>19</v>
      </c>
      <c r="B173" t="s">
        <v>20</v>
      </c>
      <c r="C173">
        <v>383.96100000000001</v>
      </c>
      <c r="D173" s="2">
        <v>12448400</v>
      </c>
      <c r="E173">
        <v>120</v>
      </c>
      <c r="F173">
        <v>5049.7240000000002</v>
      </c>
      <c r="K173">
        <f t="shared" si="5"/>
        <v>5049.7240000000002</v>
      </c>
      <c r="R173">
        <f t="shared" si="4"/>
        <v>4.3897328806786646</v>
      </c>
      <c r="S173" s="1"/>
    </row>
    <row r="174" spans="1:19" x14ac:dyDescent="0.2">
      <c r="A174" t="s">
        <v>19</v>
      </c>
      <c r="B174" t="s">
        <v>20</v>
      </c>
      <c r="C174">
        <v>384.709</v>
      </c>
      <c r="D174" s="2">
        <v>12472700</v>
      </c>
      <c r="E174">
        <v>102</v>
      </c>
      <c r="F174">
        <v>4796.7340000000004</v>
      </c>
      <c r="K174">
        <f t="shared" si="5"/>
        <v>4796.7340000000004</v>
      </c>
      <c r="R174">
        <f t="shared" si="4"/>
        <v>4.1698082825257963</v>
      </c>
      <c r="S174" s="1"/>
    </row>
    <row r="175" spans="1:19" x14ac:dyDescent="0.2">
      <c r="A175" t="s">
        <v>19</v>
      </c>
      <c r="B175" t="s">
        <v>20</v>
      </c>
      <c r="C175">
        <v>384.10199999999998</v>
      </c>
      <c r="D175" s="2">
        <v>12453000</v>
      </c>
      <c r="E175">
        <v>110</v>
      </c>
      <c r="F175">
        <v>4654.6660000000002</v>
      </c>
      <c r="K175">
        <f t="shared" si="5"/>
        <v>4654.6660000000002</v>
      </c>
      <c r="R175">
        <f t="shared" si="4"/>
        <v>4.0463083504716364</v>
      </c>
      <c r="S175" s="1"/>
    </row>
    <row r="176" spans="1:19" x14ac:dyDescent="0.2">
      <c r="A176" t="s">
        <v>19</v>
      </c>
      <c r="B176" t="s">
        <v>20</v>
      </c>
      <c r="C176">
        <v>385.98500000000001</v>
      </c>
      <c r="D176" s="2">
        <v>12514000</v>
      </c>
      <c r="E176">
        <v>108</v>
      </c>
      <c r="F176">
        <v>4515.2569999999996</v>
      </c>
      <c r="K176">
        <f t="shared" si="5"/>
        <v>4515.2569999999996</v>
      </c>
      <c r="R176">
        <f t="shared" si="4"/>
        <v>3.92511989122861</v>
      </c>
      <c r="S176" s="1"/>
    </row>
    <row r="177" spans="1:19" x14ac:dyDescent="0.2">
      <c r="A177" t="s">
        <v>19</v>
      </c>
      <c r="B177" t="s">
        <v>20</v>
      </c>
      <c r="C177">
        <v>383.17700000000002</v>
      </c>
      <c r="D177" s="2">
        <v>12423000</v>
      </c>
      <c r="E177">
        <v>116</v>
      </c>
      <c r="F177">
        <v>4385.2809999999999</v>
      </c>
      <c r="K177">
        <f t="shared" si="5"/>
        <v>4385.2809999999999</v>
      </c>
      <c r="R177">
        <f t="shared" si="4"/>
        <v>3.8121315534701328</v>
      </c>
      <c r="S177" s="1"/>
    </row>
    <row r="178" spans="1:19" x14ac:dyDescent="0.2">
      <c r="A178" t="s">
        <v>19</v>
      </c>
      <c r="B178" t="s">
        <v>20</v>
      </c>
      <c r="C178">
        <v>383.17599999999999</v>
      </c>
      <c r="D178" s="2">
        <v>12422900</v>
      </c>
      <c r="E178">
        <v>122</v>
      </c>
      <c r="F178">
        <v>4184.201</v>
      </c>
      <c r="K178">
        <f t="shared" si="5"/>
        <v>4184.201</v>
      </c>
      <c r="R178">
        <f t="shared" si="4"/>
        <v>3.6373323985763473</v>
      </c>
      <c r="S178" s="1"/>
    </row>
    <row r="179" spans="1:19" x14ac:dyDescent="0.2">
      <c r="A179" t="s">
        <v>19</v>
      </c>
      <c r="B179" t="s">
        <v>20</v>
      </c>
      <c r="C179">
        <v>381.75799999999998</v>
      </c>
      <c r="D179" s="2">
        <v>12377000</v>
      </c>
      <c r="E179">
        <v>107</v>
      </c>
      <c r="F179">
        <v>4022.08</v>
      </c>
      <c r="K179">
        <f t="shared" si="5"/>
        <v>4022.08</v>
      </c>
      <c r="R179">
        <f t="shared" si="4"/>
        <v>3.4964003626178464</v>
      </c>
      <c r="S179" s="1"/>
    </row>
    <row r="180" spans="1:19" x14ac:dyDescent="0.2">
      <c r="A180" t="s">
        <v>19</v>
      </c>
      <c r="B180" t="s">
        <v>20</v>
      </c>
      <c r="C180">
        <v>384.81599999999997</v>
      </c>
      <c r="D180" s="2">
        <v>12476100</v>
      </c>
      <c r="E180">
        <v>112</v>
      </c>
      <c r="F180">
        <v>3919.5729999999999</v>
      </c>
      <c r="K180">
        <f t="shared" si="5"/>
        <v>3919.5729999999999</v>
      </c>
      <c r="R180">
        <f t="shared" si="4"/>
        <v>3.4072908690297354</v>
      </c>
      <c r="S180" s="1"/>
    </row>
    <row r="181" spans="1:19" x14ac:dyDescent="0.2">
      <c r="A181" t="s">
        <v>19</v>
      </c>
      <c r="B181" t="s">
        <v>20</v>
      </c>
      <c r="C181">
        <v>385.16899999999998</v>
      </c>
      <c r="D181" s="2">
        <v>12487600</v>
      </c>
      <c r="E181">
        <v>120</v>
      </c>
      <c r="F181">
        <v>3874.8150000000001</v>
      </c>
      <c r="K181">
        <f t="shared" si="5"/>
        <v>3874.8150000000001</v>
      </c>
      <c r="R181">
        <f t="shared" si="4"/>
        <v>3.368382670428502</v>
      </c>
      <c r="S181" s="1"/>
    </row>
    <row r="182" spans="1:19" x14ac:dyDescent="0.2">
      <c r="A182" t="s">
        <v>19</v>
      </c>
      <c r="B182" t="s">
        <v>20</v>
      </c>
      <c r="C182">
        <v>385.63099999999997</v>
      </c>
      <c r="D182" s="2">
        <v>12502500</v>
      </c>
      <c r="E182">
        <v>121</v>
      </c>
      <c r="F182">
        <v>3845.9780000000001</v>
      </c>
      <c r="K182">
        <f t="shared" si="5"/>
        <v>3845.9780000000001</v>
      </c>
      <c r="R182">
        <f t="shared" si="4"/>
        <v>3.3433146217430432</v>
      </c>
      <c r="S182" s="1"/>
    </row>
    <row r="183" spans="1:19" x14ac:dyDescent="0.2">
      <c r="A183" t="s">
        <v>19</v>
      </c>
      <c r="B183" t="s">
        <v>20</v>
      </c>
      <c r="C183">
        <v>389.67599999999999</v>
      </c>
      <c r="D183" s="2">
        <v>12633700</v>
      </c>
      <c r="E183">
        <v>123</v>
      </c>
      <c r="F183">
        <v>3823.3560000000002</v>
      </c>
      <c r="K183">
        <f t="shared" si="5"/>
        <v>3823.3560000000002</v>
      </c>
      <c r="R183">
        <f t="shared" si="4"/>
        <v>3.3236492821667194</v>
      </c>
      <c r="S183" s="1"/>
    </row>
    <row r="184" spans="1:19" x14ac:dyDescent="0.2">
      <c r="A184" t="s">
        <v>19</v>
      </c>
      <c r="B184" t="s">
        <v>20</v>
      </c>
      <c r="C184">
        <v>389.125</v>
      </c>
      <c r="D184" s="2">
        <v>12615800</v>
      </c>
      <c r="E184">
        <v>123</v>
      </c>
      <c r="F184">
        <v>3876.181</v>
      </c>
      <c r="K184">
        <f t="shared" si="5"/>
        <v>3876.181</v>
      </c>
      <c r="R184">
        <f t="shared" si="4"/>
        <v>3.369570136340502</v>
      </c>
      <c r="S184" s="1"/>
    </row>
    <row r="185" spans="1:19" x14ac:dyDescent="0.2">
      <c r="A185" t="s">
        <v>19</v>
      </c>
      <c r="B185" t="s">
        <v>20</v>
      </c>
      <c r="C185">
        <v>385.91199999999998</v>
      </c>
      <c r="D185" s="2">
        <v>12511600</v>
      </c>
      <c r="E185">
        <v>115</v>
      </c>
      <c r="F185">
        <v>3869.797</v>
      </c>
      <c r="K185">
        <f t="shared" si="5"/>
        <v>3869.797</v>
      </c>
      <c r="R185">
        <f t="shared" si="4"/>
        <v>3.3640205152700728</v>
      </c>
      <c r="S185" s="1"/>
    </row>
    <row r="186" spans="1:19" x14ac:dyDescent="0.2">
      <c r="A186" t="s">
        <v>19</v>
      </c>
      <c r="B186" t="s">
        <v>20</v>
      </c>
      <c r="C186">
        <v>386.49400000000003</v>
      </c>
      <c r="D186" s="2">
        <v>12530500</v>
      </c>
      <c r="E186">
        <v>120</v>
      </c>
      <c r="F186">
        <v>3880.3330000000001</v>
      </c>
      <c r="K186">
        <f t="shared" si="5"/>
        <v>3880.3330000000001</v>
      </c>
      <c r="R186">
        <f t="shared" si="4"/>
        <v>3.3731794763599918</v>
      </c>
      <c r="S186" s="1"/>
    </row>
    <row r="187" spans="1:19" x14ac:dyDescent="0.2">
      <c r="A187" t="s">
        <v>19</v>
      </c>
      <c r="B187" t="s">
        <v>20</v>
      </c>
      <c r="C187">
        <v>384.75099999999998</v>
      </c>
      <c r="D187" s="2">
        <v>12474000</v>
      </c>
      <c r="E187">
        <v>99</v>
      </c>
      <c r="F187">
        <v>3887.2809999999999</v>
      </c>
      <c r="K187">
        <f t="shared" si="5"/>
        <v>3887.2809999999999</v>
      </c>
      <c r="R187">
        <f t="shared" si="4"/>
        <v>3.3792193835024324</v>
      </c>
      <c r="S187" s="1"/>
    </row>
    <row r="188" spans="1:19" x14ac:dyDescent="0.2">
      <c r="A188" t="s">
        <v>19</v>
      </c>
      <c r="B188" t="s">
        <v>20</v>
      </c>
      <c r="C188">
        <v>386.88400000000001</v>
      </c>
      <c r="D188" s="2">
        <v>12543200</v>
      </c>
      <c r="E188">
        <v>121</v>
      </c>
      <c r="F188">
        <v>3826.8510000000001</v>
      </c>
      <c r="K188">
        <f t="shared" si="5"/>
        <v>3826.8510000000001</v>
      </c>
      <c r="R188">
        <f t="shared" si="4"/>
        <v>3.3266874910704085</v>
      </c>
      <c r="S188" s="1"/>
    </row>
    <row r="189" spans="1:19" x14ac:dyDescent="0.2">
      <c r="A189" t="s">
        <v>19</v>
      </c>
      <c r="B189" t="s">
        <v>20</v>
      </c>
      <c r="C189">
        <v>384.02199999999999</v>
      </c>
      <c r="D189" s="2">
        <v>12450400</v>
      </c>
      <c r="E189">
        <v>121</v>
      </c>
      <c r="F189">
        <v>3743.7660000000001</v>
      </c>
      <c r="K189">
        <f t="shared" si="5"/>
        <v>3743.7660000000001</v>
      </c>
      <c r="R189">
        <f t="shared" si="4"/>
        <v>3.2544615721110381</v>
      </c>
      <c r="S189" s="1"/>
    </row>
    <row r="190" spans="1:19" x14ac:dyDescent="0.2">
      <c r="A190" t="s">
        <v>19</v>
      </c>
      <c r="B190" t="s">
        <v>20</v>
      </c>
      <c r="C190">
        <v>382.69499999999999</v>
      </c>
      <c r="D190" s="2">
        <v>12407400</v>
      </c>
      <c r="E190">
        <v>114</v>
      </c>
      <c r="F190">
        <v>3636.893</v>
      </c>
      <c r="K190">
        <f t="shared" si="5"/>
        <v>3636.893</v>
      </c>
      <c r="R190">
        <f t="shared" si="4"/>
        <v>3.1615567079725682</v>
      </c>
      <c r="S190" s="1"/>
    </row>
    <row r="191" spans="1:19" x14ac:dyDescent="0.2">
      <c r="A191" t="s">
        <v>19</v>
      </c>
      <c r="B191" t="s">
        <v>20</v>
      </c>
      <c r="C191">
        <v>384.041</v>
      </c>
      <c r="D191" s="2">
        <v>12451000</v>
      </c>
      <c r="E191">
        <v>111</v>
      </c>
      <c r="F191">
        <v>3568.3490000000002</v>
      </c>
      <c r="K191">
        <f t="shared" si="5"/>
        <v>3568.3490000000002</v>
      </c>
      <c r="R191">
        <f t="shared" si="4"/>
        <v>3.1019713027953273</v>
      </c>
      <c r="S191" s="1"/>
    </row>
    <row r="192" spans="1:19" x14ac:dyDescent="0.2">
      <c r="A192" t="s">
        <v>19</v>
      </c>
      <c r="B192" t="s">
        <v>20</v>
      </c>
      <c r="C192">
        <v>383.46</v>
      </c>
      <c r="D192" s="2">
        <v>12432200</v>
      </c>
      <c r="E192">
        <v>116</v>
      </c>
      <c r="F192">
        <v>3583.3159999999998</v>
      </c>
      <c r="K192">
        <f t="shared" si="5"/>
        <v>3583.3159999999998</v>
      </c>
      <c r="R192">
        <f t="shared" si="4"/>
        <v>3.114982139036103</v>
      </c>
      <c r="S192" s="1"/>
    </row>
    <row r="193" spans="1:19" x14ac:dyDescent="0.2">
      <c r="A193" t="s">
        <v>19</v>
      </c>
      <c r="B193" t="s">
        <v>20</v>
      </c>
      <c r="C193">
        <v>382.06200000000001</v>
      </c>
      <c r="D193" s="2">
        <v>12386800</v>
      </c>
      <c r="E193">
        <v>117</v>
      </c>
      <c r="F193">
        <v>3614.11</v>
      </c>
      <c r="K193">
        <f t="shared" si="5"/>
        <v>3614.11</v>
      </c>
      <c r="R193">
        <f t="shared" si="4"/>
        <v>3.141751410847319</v>
      </c>
      <c r="S193" s="1"/>
    </row>
    <row r="194" spans="1:19" x14ac:dyDescent="0.2">
      <c r="A194" t="s">
        <v>19</v>
      </c>
      <c r="B194" t="s">
        <v>20</v>
      </c>
      <c r="C194">
        <v>382.93299999999999</v>
      </c>
      <c r="D194" s="2">
        <v>12415100</v>
      </c>
      <c r="E194">
        <v>118</v>
      </c>
      <c r="F194">
        <v>3618.2550000000001</v>
      </c>
      <c r="K194">
        <f t="shared" si="5"/>
        <v>3618.2550000000001</v>
      </c>
      <c r="R194">
        <f t="shared" ref="R194:R257" si="6">F194/$H$2</f>
        <v>3.1453546657559861</v>
      </c>
      <c r="S194" s="1"/>
    </row>
    <row r="195" spans="1:19" x14ac:dyDescent="0.2">
      <c r="A195" t="s">
        <v>19</v>
      </c>
      <c r="B195" t="s">
        <v>20</v>
      </c>
      <c r="C195">
        <v>382.68099999999998</v>
      </c>
      <c r="D195" s="2">
        <v>12406900</v>
      </c>
      <c r="E195">
        <v>120</v>
      </c>
      <c r="F195">
        <v>3642.8220000000001</v>
      </c>
      <c r="K195">
        <f t="shared" ref="K195:K258" si="7">IF(F195&gt;($H$4+$H$4*(0.3+ABS($I$12))), F195, "BASELINE")</f>
        <v>3642.8220000000001</v>
      </c>
      <c r="R195">
        <f t="shared" si="6"/>
        <v>3.1667107968395132</v>
      </c>
      <c r="S195" s="1"/>
    </row>
    <row r="196" spans="1:19" x14ac:dyDescent="0.2">
      <c r="A196" t="s">
        <v>19</v>
      </c>
      <c r="B196" t="s">
        <v>20</v>
      </c>
      <c r="C196">
        <v>384.61099999999999</v>
      </c>
      <c r="D196" s="2">
        <v>12469500</v>
      </c>
      <c r="E196">
        <v>113</v>
      </c>
      <c r="F196">
        <v>3736.1219999999998</v>
      </c>
      <c r="K196">
        <f t="shared" si="7"/>
        <v>3736.1219999999998</v>
      </c>
      <c r="R196">
        <f t="shared" si="6"/>
        <v>3.2478166310924976</v>
      </c>
      <c r="S196" s="1"/>
    </row>
    <row r="197" spans="1:19" x14ac:dyDescent="0.2">
      <c r="A197" t="s">
        <v>19</v>
      </c>
      <c r="B197" t="s">
        <v>20</v>
      </c>
      <c r="C197">
        <v>380.23099999999999</v>
      </c>
      <c r="D197" s="2">
        <v>12327500</v>
      </c>
      <c r="E197">
        <v>105</v>
      </c>
      <c r="F197">
        <v>3818.982</v>
      </c>
      <c r="K197">
        <f t="shared" si="7"/>
        <v>3818.982</v>
      </c>
      <c r="R197">
        <f t="shared" si="6"/>
        <v>3.3198469572039908</v>
      </c>
      <c r="S197" s="1"/>
    </row>
    <row r="198" spans="1:19" x14ac:dyDescent="0.2">
      <c r="A198" t="s">
        <v>19</v>
      </c>
      <c r="B198" t="s">
        <v>20</v>
      </c>
      <c r="C198">
        <v>383.733</v>
      </c>
      <c r="D198" s="2">
        <v>12441000</v>
      </c>
      <c r="E198">
        <v>117</v>
      </c>
      <c r="F198">
        <v>3928.567</v>
      </c>
      <c r="K198">
        <f t="shared" si="7"/>
        <v>3928.567</v>
      </c>
      <c r="R198">
        <f t="shared" si="6"/>
        <v>3.4151093671355381</v>
      </c>
      <c r="S198" s="1"/>
    </row>
    <row r="199" spans="1:19" x14ac:dyDescent="0.2">
      <c r="A199" t="s">
        <v>19</v>
      </c>
      <c r="B199" t="s">
        <v>20</v>
      </c>
      <c r="C199">
        <v>383.08499999999998</v>
      </c>
      <c r="D199" s="2">
        <v>12420000</v>
      </c>
      <c r="E199">
        <v>108</v>
      </c>
      <c r="F199">
        <v>4055.1190000000001</v>
      </c>
      <c r="K199">
        <f t="shared" si="7"/>
        <v>4055.1190000000001</v>
      </c>
      <c r="R199">
        <f t="shared" si="6"/>
        <v>3.5251212164001009</v>
      </c>
      <c r="S199" s="1"/>
    </row>
    <row r="200" spans="1:19" x14ac:dyDescent="0.2">
      <c r="A200" t="s">
        <v>19</v>
      </c>
      <c r="B200" t="s">
        <v>20</v>
      </c>
      <c r="C200">
        <v>384.85300000000001</v>
      </c>
      <c r="D200" s="2">
        <v>12477300</v>
      </c>
      <c r="E200">
        <v>120</v>
      </c>
      <c r="F200">
        <v>4175.0659999999998</v>
      </c>
      <c r="K200">
        <f t="shared" si="7"/>
        <v>4175.0659999999998</v>
      </c>
      <c r="R200">
        <f t="shared" si="6"/>
        <v>3.6293913289525421</v>
      </c>
      <c r="S200" s="1"/>
    </row>
    <row r="201" spans="1:19" x14ac:dyDescent="0.2">
      <c r="A201" t="s">
        <v>19</v>
      </c>
      <c r="B201" t="s">
        <v>20</v>
      </c>
      <c r="C201">
        <v>382.90300000000002</v>
      </c>
      <c r="D201" s="2">
        <v>12414100</v>
      </c>
      <c r="E201">
        <v>110</v>
      </c>
      <c r="F201">
        <v>4385.652</v>
      </c>
      <c r="K201">
        <f t="shared" si="7"/>
        <v>4385.652</v>
      </c>
      <c r="R201">
        <f t="shared" si="6"/>
        <v>3.8124540643437435</v>
      </c>
      <c r="S201" s="1"/>
    </row>
    <row r="202" spans="1:19" x14ac:dyDescent="0.2">
      <c r="A202" t="s">
        <v>19</v>
      </c>
      <c r="B202" t="s">
        <v>20</v>
      </c>
      <c r="C202">
        <v>382.62599999999998</v>
      </c>
      <c r="D202" s="2">
        <v>12405100</v>
      </c>
      <c r="E202">
        <v>106</v>
      </c>
      <c r="F202">
        <v>4423.308</v>
      </c>
      <c r="K202">
        <f t="shared" si="7"/>
        <v>4423.308</v>
      </c>
      <c r="R202">
        <f t="shared" si="6"/>
        <v>3.8451884833644332</v>
      </c>
      <c r="S202" s="1"/>
    </row>
    <row r="203" spans="1:19" x14ac:dyDescent="0.2">
      <c r="A203" t="s">
        <v>19</v>
      </c>
      <c r="B203" t="s">
        <v>20</v>
      </c>
      <c r="C203">
        <v>382.25200000000001</v>
      </c>
      <c r="D203" s="2">
        <v>12393000</v>
      </c>
      <c r="E203">
        <v>104</v>
      </c>
      <c r="F203">
        <v>4377.3620000000001</v>
      </c>
      <c r="K203">
        <f t="shared" si="7"/>
        <v>4377.3620000000001</v>
      </c>
      <c r="R203">
        <f t="shared" si="6"/>
        <v>3.8052475545264093</v>
      </c>
      <c r="S203" s="1"/>
    </row>
    <row r="204" spans="1:19" x14ac:dyDescent="0.2">
      <c r="A204" t="s">
        <v>19</v>
      </c>
      <c r="B204" t="s">
        <v>20</v>
      </c>
      <c r="C204">
        <v>383.81599999999997</v>
      </c>
      <c r="D204" s="2">
        <v>12443700</v>
      </c>
      <c r="E204">
        <v>121</v>
      </c>
      <c r="F204">
        <v>4380.0159999999996</v>
      </c>
      <c r="K204">
        <f t="shared" si="7"/>
        <v>4380.0159999999996</v>
      </c>
      <c r="R204">
        <f t="shared" si="6"/>
        <v>3.8075546808298113</v>
      </c>
      <c r="S204" s="1"/>
    </row>
    <row r="205" spans="1:19" x14ac:dyDescent="0.2">
      <c r="A205" t="s">
        <v>19</v>
      </c>
      <c r="B205" t="s">
        <v>20</v>
      </c>
      <c r="C205">
        <v>388.05500000000001</v>
      </c>
      <c r="D205" s="2">
        <v>12581100</v>
      </c>
      <c r="E205">
        <v>104</v>
      </c>
      <c r="F205">
        <v>4404.5200000000004</v>
      </c>
      <c r="K205">
        <f t="shared" si="7"/>
        <v>4404.5200000000004</v>
      </c>
      <c r="R205">
        <f t="shared" si="6"/>
        <v>3.8288560459159333</v>
      </c>
      <c r="S205" s="1"/>
    </row>
    <row r="206" spans="1:19" x14ac:dyDescent="0.2">
      <c r="A206" t="s">
        <v>19</v>
      </c>
      <c r="B206" t="s">
        <v>20</v>
      </c>
      <c r="C206">
        <v>384.59899999999999</v>
      </c>
      <c r="D206" s="2">
        <v>12469100</v>
      </c>
      <c r="E206">
        <v>117</v>
      </c>
      <c r="F206">
        <v>4430.7470000000003</v>
      </c>
      <c r="K206">
        <f t="shared" si="7"/>
        <v>4430.7470000000003</v>
      </c>
      <c r="R206">
        <f t="shared" si="6"/>
        <v>3.8516552175660195</v>
      </c>
      <c r="S206" s="1"/>
    </row>
    <row r="207" spans="1:19" x14ac:dyDescent="0.2">
      <c r="A207" t="s">
        <v>19</v>
      </c>
      <c r="B207" t="s">
        <v>20</v>
      </c>
      <c r="C207">
        <v>380.625</v>
      </c>
      <c r="D207" s="2">
        <v>12340200</v>
      </c>
      <c r="E207">
        <v>110</v>
      </c>
      <c r="F207">
        <v>4403.4380000000001</v>
      </c>
      <c r="K207">
        <f t="shared" si="7"/>
        <v>4403.4380000000001</v>
      </c>
      <c r="R207">
        <f t="shared" si="6"/>
        <v>3.8279154616430313</v>
      </c>
      <c r="S207" s="1"/>
    </row>
    <row r="208" spans="1:19" x14ac:dyDescent="0.2">
      <c r="A208" t="s">
        <v>19</v>
      </c>
      <c r="B208" t="s">
        <v>20</v>
      </c>
      <c r="C208">
        <v>382.32499999999999</v>
      </c>
      <c r="D208" s="2">
        <v>12395400</v>
      </c>
      <c r="E208">
        <v>114</v>
      </c>
      <c r="F208">
        <v>4443.8329999999996</v>
      </c>
      <c r="K208">
        <f t="shared" si="7"/>
        <v>4443.8329999999996</v>
      </c>
      <c r="R208">
        <f t="shared" si="6"/>
        <v>3.8630308975985437</v>
      </c>
      <c r="S208" s="1"/>
    </row>
    <row r="209" spans="1:19" x14ac:dyDescent="0.2">
      <c r="A209" t="s">
        <v>19</v>
      </c>
      <c r="B209" t="s">
        <v>20</v>
      </c>
      <c r="C209">
        <v>384.45400000000001</v>
      </c>
      <c r="D209" s="2">
        <v>12464400</v>
      </c>
      <c r="E209">
        <v>97</v>
      </c>
      <c r="F209">
        <v>4486.4459999999999</v>
      </c>
      <c r="K209">
        <f t="shared" si="7"/>
        <v>4486.4459999999999</v>
      </c>
      <c r="R209">
        <f t="shared" si="6"/>
        <v>3.9000744443833502</v>
      </c>
      <c r="S209" s="1"/>
    </row>
    <row r="210" spans="1:19" x14ac:dyDescent="0.2">
      <c r="A210" t="s">
        <v>19</v>
      </c>
      <c r="B210" t="s">
        <v>20</v>
      </c>
      <c r="C210">
        <v>383.24599999999998</v>
      </c>
      <c r="D210" s="2">
        <v>12425200</v>
      </c>
      <c r="E210">
        <v>121</v>
      </c>
      <c r="F210">
        <v>4784.33</v>
      </c>
      <c r="K210">
        <f t="shared" si="7"/>
        <v>4784.33</v>
      </c>
      <c r="R210">
        <f t="shared" si="6"/>
        <v>4.1590254661477246</v>
      </c>
      <c r="S210" s="1"/>
    </row>
    <row r="211" spans="1:19" x14ac:dyDescent="0.2">
      <c r="A211" t="s">
        <v>19</v>
      </c>
      <c r="B211" t="s">
        <v>20</v>
      </c>
      <c r="C211">
        <v>384.19600000000003</v>
      </c>
      <c r="D211" s="2">
        <v>12456000</v>
      </c>
      <c r="E211">
        <v>109</v>
      </c>
      <c r="F211">
        <v>5624.9489999999996</v>
      </c>
      <c r="K211">
        <f t="shared" si="7"/>
        <v>5624.9489999999996</v>
      </c>
      <c r="R211">
        <f t="shared" si="6"/>
        <v>4.8897768625454718</v>
      </c>
      <c r="S211" s="1"/>
    </row>
    <row r="212" spans="1:19" x14ac:dyDescent="0.2">
      <c r="A212" t="s">
        <v>19</v>
      </c>
      <c r="B212" t="s">
        <v>20</v>
      </c>
      <c r="C212">
        <v>387.887</v>
      </c>
      <c r="D212" s="2">
        <v>12575700</v>
      </c>
      <c r="E212">
        <v>122</v>
      </c>
      <c r="F212">
        <v>5698.9790000000003</v>
      </c>
      <c r="K212">
        <f t="shared" si="7"/>
        <v>5698.9790000000003</v>
      </c>
      <c r="R212">
        <f t="shared" si="6"/>
        <v>4.954131256004727</v>
      </c>
      <c r="S212" s="1"/>
    </row>
    <row r="213" spans="1:19" x14ac:dyDescent="0.2">
      <c r="A213" t="s">
        <v>19</v>
      </c>
      <c r="B213" t="s">
        <v>20</v>
      </c>
      <c r="C213">
        <v>382.94499999999999</v>
      </c>
      <c r="D213" s="2">
        <v>12415500</v>
      </c>
      <c r="E213">
        <v>115</v>
      </c>
      <c r="F213">
        <v>5694.3829999999998</v>
      </c>
      <c r="K213">
        <f t="shared" si="7"/>
        <v>5694.3829999999998</v>
      </c>
      <c r="R213">
        <f t="shared" si="6"/>
        <v>4.9501359460987597</v>
      </c>
      <c r="S213" s="1"/>
    </row>
    <row r="214" spans="1:19" x14ac:dyDescent="0.2">
      <c r="A214" t="s">
        <v>19</v>
      </c>
      <c r="B214" t="s">
        <v>20</v>
      </c>
      <c r="C214">
        <v>384.46800000000002</v>
      </c>
      <c r="D214" s="2">
        <v>12464800</v>
      </c>
      <c r="E214">
        <v>112</v>
      </c>
      <c r="F214">
        <v>5711.7370000000001</v>
      </c>
      <c r="K214">
        <f t="shared" si="7"/>
        <v>5711.7370000000001</v>
      </c>
      <c r="R214">
        <f t="shared" si="6"/>
        <v>4.965221805130124</v>
      </c>
      <c r="S214" s="1"/>
    </row>
    <row r="215" spans="1:19" x14ac:dyDescent="0.2">
      <c r="A215" t="s">
        <v>19</v>
      </c>
      <c r="B215" t="s">
        <v>20</v>
      </c>
      <c r="C215">
        <v>390.38200000000001</v>
      </c>
      <c r="D215" s="2">
        <v>12656600</v>
      </c>
      <c r="E215">
        <v>121</v>
      </c>
      <c r="F215">
        <v>5683.2740000000003</v>
      </c>
      <c r="K215">
        <f t="shared" si="7"/>
        <v>5683.2740000000003</v>
      </c>
      <c r="R215">
        <f t="shared" si="6"/>
        <v>4.9404788752229143</v>
      </c>
      <c r="S215" s="1"/>
    </row>
    <row r="216" spans="1:19" x14ac:dyDescent="0.2">
      <c r="A216" t="s">
        <v>19</v>
      </c>
      <c r="B216" t="s">
        <v>20</v>
      </c>
      <c r="C216">
        <v>384.98</v>
      </c>
      <c r="D216" s="2">
        <v>12481400</v>
      </c>
      <c r="E216">
        <v>115</v>
      </c>
      <c r="F216">
        <v>5660.7030000000004</v>
      </c>
      <c r="K216">
        <f t="shared" si="7"/>
        <v>5660.7030000000004</v>
      </c>
      <c r="R216">
        <f t="shared" si="6"/>
        <v>4.9208578700254426</v>
      </c>
      <c r="S216" s="1"/>
    </row>
    <row r="217" spans="1:19" x14ac:dyDescent="0.2">
      <c r="A217" t="s">
        <v>19</v>
      </c>
      <c r="B217" t="s">
        <v>20</v>
      </c>
      <c r="C217">
        <v>384.529</v>
      </c>
      <c r="D217" s="2">
        <v>12466800</v>
      </c>
      <c r="E217">
        <v>112</v>
      </c>
      <c r="F217">
        <v>5577.2719999999999</v>
      </c>
      <c r="K217">
        <f t="shared" si="7"/>
        <v>5577.2719999999999</v>
      </c>
      <c r="R217">
        <f t="shared" si="6"/>
        <v>4.8483311727311147</v>
      </c>
      <c r="S217" s="1"/>
    </row>
    <row r="218" spans="1:19" x14ac:dyDescent="0.2">
      <c r="A218" t="s">
        <v>19</v>
      </c>
      <c r="B218" t="s">
        <v>20</v>
      </c>
      <c r="C218">
        <v>379.85399999999998</v>
      </c>
      <c r="D218" s="2">
        <v>12315200</v>
      </c>
      <c r="E218">
        <v>114</v>
      </c>
      <c r="F218">
        <v>5514.2460000000001</v>
      </c>
      <c r="K218">
        <f t="shared" si="7"/>
        <v>5514.2460000000001</v>
      </c>
      <c r="R218">
        <f t="shared" si="6"/>
        <v>4.7935425734853627</v>
      </c>
      <c r="S218" s="1"/>
    </row>
    <row r="219" spans="1:19" x14ac:dyDescent="0.2">
      <c r="A219" t="s">
        <v>19</v>
      </c>
      <c r="B219" t="s">
        <v>20</v>
      </c>
      <c r="C219">
        <v>379.40899999999999</v>
      </c>
      <c r="D219" s="2">
        <v>12300800</v>
      </c>
      <c r="E219">
        <v>114</v>
      </c>
      <c r="F219">
        <v>5441.91</v>
      </c>
      <c r="K219">
        <f t="shared" si="7"/>
        <v>5441.91</v>
      </c>
      <c r="R219">
        <f t="shared" si="6"/>
        <v>4.7306607768452356</v>
      </c>
      <c r="S219" s="1"/>
    </row>
    <row r="220" spans="1:19" x14ac:dyDescent="0.2">
      <c r="A220" t="s">
        <v>19</v>
      </c>
      <c r="B220" t="s">
        <v>20</v>
      </c>
      <c r="C220">
        <v>381.18</v>
      </c>
      <c r="D220" s="2">
        <v>12358200</v>
      </c>
      <c r="E220">
        <v>107</v>
      </c>
      <c r="F220">
        <v>5406.884</v>
      </c>
      <c r="K220">
        <f t="shared" si="7"/>
        <v>5406.884</v>
      </c>
      <c r="R220">
        <f t="shared" si="6"/>
        <v>4.7002126208908406</v>
      </c>
      <c r="S220" s="1"/>
    </row>
    <row r="221" spans="1:19" x14ac:dyDescent="0.2">
      <c r="A221" t="s">
        <v>19</v>
      </c>
      <c r="B221" t="s">
        <v>20</v>
      </c>
      <c r="C221">
        <v>384.166</v>
      </c>
      <c r="D221" s="2">
        <v>12455000</v>
      </c>
      <c r="E221">
        <v>117</v>
      </c>
      <c r="F221">
        <v>5358.5469999999996</v>
      </c>
      <c r="K221">
        <f t="shared" si="7"/>
        <v>5358.5469999999996</v>
      </c>
      <c r="R221">
        <f t="shared" si="6"/>
        <v>4.6581931920560438</v>
      </c>
      <c r="S221" s="1"/>
    </row>
    <row r="222" spans="1:19" x14ac:dyDescent="0.2">
      <c r="A222" t="s">
        <v>19</v>
      </c>
      <c r="B222" t="s">
        <v>20</v>
      </c>
      <c r="C222">
        <v>379.23</v>
      </c>
      <c r="D222" s="2">
        <v>12295000</v>
      </c>
      <c r="E222">
        <v>104</v>
      </c>
      <c r="F222">
        <v>5289.2560000000003</v>
      </c>
      <c r="K222">
        <f t="shared" si="7"/>
        <v>5289.2560000000003</v>
      </c>
      <c r="R222">
        <f t="shared" si="6"/>
        <v>4.5979584186238514</v>
      </c>
      <c r="S222" s="1"/>
    </row>
    <row r="223" spans="1:19" x14ac:dyDescent="0.2">
      <c r="A223" t="s">
        <v>19</v>
      </c>
      <c r="B223" t="s">
        <v>20</v>
      </c>
      <c r="C223">
        <v>383.39400000000001</v>
      </c>
      <c r="D223" s="2">
        <v>12430000</v>
      </c>
      <c r="E223">
        <v>116</v>
      </c>
      <c r="F223">
        <v>5294.26</v>
      </c>
      <c r="K223">
        <f t="shared" si="7"/>
        <v>5294.26</v>
      </c>
      <c r="R223">
        <f t="shared" si="6"/>
        <v>4.6023084035606354</v>
      </c>
      <c r="S223" s="1"/>
    </row>
    <row r="224" spans="1:19" x14ac:dyDescent="0.2">
      <c r="A224" t="s">
        <v>19</v>
      </c>
      <c r="B224" t="s">
        <v>20</v>
      </c>
      <c r="C224">
        <v>378.64800000000002</v>
      </c>
      <c r="D224" s="2">
        <v>12276100</v>
      </c>
      <c r="E224">
        <v>117</v>
      </c>
      <c r="F224">
        <v>5256.6289999999999</v>
      </c>
      <c r="K224">
        <f t="shared" si="7"/>
        <v>5256.6289999999999</v>
      </c>
      <c r="R224">
        <f t="shared" si="6"/>
        <v>4.5695957170785979</v>
      </c>
      <c r="S224" s="1"/>
    </row>
    <row r="225" spans="1:19" x14ac:dyDescent="0.2">
      <c r="A225" t="s">
        <v>19</v>
      </c>
      <c r="B225" t="s">
        <v>20</v>
      </c>
      <c r="C225">
        <v>379.63200000000001</v>
      </c>
      <c r="D225" s="2">
        <v>12308100</v>
      </c>
      <c r="E225">
        <v>114</v>
      </c>
      <c r="F225">
        <v>5184.1850000000004</v>
      </c>
      <c r="K225">
        <f t="shared" si="7"/>
        <v>5184.1850000000004</v>
      </c>
      <c r="R225">
        <f t="shared" si="6"/>
        <v>4.5066200358714896</v>
      </c>
      <c r="S225" s="1"/>
    </row>
    <row r="226" spans="1:19" x14ac:dyDescent="0.2">
      <c r="A226" t="s">
        <v>19</v>
      </c>
      <c r="B226" t="s">
        <v>20</v>
      </c>
      <c r="C226">
        <v>379.36399999999998</v>
      </c>
      <c r="D226" s="2">
        <v>12299400</v>
      </c>
      <c r="E226">
        <v>119</v>
      </c>
      <c r="F226">
        <v>5100.0659999999998</v>
      </c>
      <c r="K226">
        <f t="shared" si="7"/>
        <v>5100.0659999999998</v>
      </c>
      <c r="R226">
        <f t="shared" si="6"/>
        <v>4.4334952591134309</v>
      </c>
      <c r="S226" s="1"/>
    </row>
    <row r="227" spans="1:19" x14ac:dyDescent="0.2">
      <c r="A227" t="s">
        <v>19</v>
      </c>
      <c r="B227" t="s">
        <v>20</v>
      </c>
      <c r="C227">
        <v>379.07100000000003</v>
      </c>
      <c r="D227" s="2">
        <v>12289800</v>
      </c>
      <c r="E227">
        <v>114</v>
      </c>
      <c r="F227">
        <v>5024.9250000000002</v>
      </c>
      <c r="K227">
        <f t="shared" si="7"/>
        <v>5024.9250000000002</v>
      </c>
      <c r="R227">
        <f t="shared" si="6"/>
        <v>4.3681750716364371</v>
      </c>
      <c r="S227" s="1"/>
    </row>
    <row r="228" spans="1:19" x14ac:dyDescent="0.2">
      <c r="A228" t="s">
        <v>19</v>
      </c>
      <c r="B228" t="s">
        <v>20</v>
      </c>
      <c r="C228">
        <v>380.274</v>
      </c>
      <c r="D228" s="2">
        <v>12328900</v>
      </c>
      <c r="E228">
        <v>117</v>
      </c>
      <c r="F228">
        <v>4926.2780000000002</v>
      </c>
      <c r="K228">
        <f t="shared" si="7"/>
        <v>4926.2780000000002</v>
      </c>
      <c r="R228">
        <f t="shared" si="6"/>
        <v>4.2824210820163495</v>
      </c>
      <c r="S228" s="1"/>
    </row>
    <row r="229" spans="1:19" x14ac:dyDescent="0.2">
      <c r="A229" t="s">
        <v>19</v>
      </c>
      <c r="B229" t="s">
        <v>20</v>
      </c>
      <c r="C229">
        <v>377.07900000000001</v>
      </c>
      <c r="D229" s="2">
        <v>12225300</v>
      </c>
      <c r="E229">
        <v>117</v>
      </c>
      <c r="F229">
        <v>4858.5410000000002</v>
      </c>
      <c r="K229">
        <f t="shared" si="7"/>
        <v>4858.5410000000002</v>
      </c>
      <c r="R229">
        <f t="shared" si="6"/>
        <v>4.2235372031868268</v>
      </c>
      <c r="S229" s="1"/>
    </row>
    <row r="230" spans="1:19" x14ac:dyDescent="0.2">
      <c r="A230" t="s">
        <v>19</v>
      </c>
      <c r="B230" t="s">
        <v>20</v>
      </c>
      <c r="C230">
        <v>380.05799999999999</v>
      </c>
      <c r="D230" s="2">
        <v>12321900</v>
      </c>
      <c r="E230">
        <v>128</v>
      </c>
      <c r="F230">
        <v>4726.3969999999999</v>
      </c>
      <c r="K230">
        <f t="shared" si="7"/>
        <v>4726.3969999999999</v>
      </c>
      <c r="R230">
        <f t="shared" si="6"/>
        <v>4.1086642196763616</v>
      </c>
      <c r="S230" s="1"/>
    </row>
    <row r="231" spans="1:19" x14ac:dyDescent="0.2">
      <c r="A231" t="s">
        <v>19</v>
      </c>
      <c r="B231" t="s">
        <v>20</v>
      </c>
      <c r="C231">
        <v>379.56</v>
      </c>
      <c r="D231" s="2">
        <v>12305700</v>
      </c>
      <c r="E231">
        <v>113</v>
      </c>
      <c r="F231">
        <v>4654.8209999999999</v>
      </c>
      <c r="K231">
        <f t="shared" si="7"/>
        <v>4654.8209999999999</v>
      </c>
      <c r="R231">
        <f t="shared" si="6"/>
        <v>4.0464430922112848</v>
      </c>
      <c r="S231" s="1"/>
    </row>
    <row r="232" spans="1:19" x14ac:dyDescent="0.2">
      <c r="A232" t="s">
        <v>19</v>
      </c>
      <c r="B232" t="s">
        <v>20</v>
      </c>
      <c r="C232">
        <v>375.20100000000002</v>
      </c>
      <c r="D232" s="2">
        <v>12164400</v>
      </c>
      <c r="E232">
        <v>105</v>
      </c>
      <c r="F232">
        <v>4664.2889999999998</v>
      </c>
      <c r="K232">
        <f t="shared" si="7"/>
        <v>4664.2889999999998</v>
      </c>
      <c r="R232">
        <f t="shared" si="6"/>
        <v>4.0546736392499483</v>
      </c>
      <c r="S232" s="1"/>
    </row>
    <row r="233" spans="1:19" x14ac:dyDescent="0.2">
      <c r="A233" t="s">
        <v>19</v>
      </c>
      <c r="B233" t="s">
        <v>20</v>
      </c>
      <c r="C233">
        <v>374.28399999999999</v>
      </c>
      <c r="D233" s="2">
        <v>12134700</v>
      </c>
      <c r="E233">
        <v>111</v>
      </c>
      <c r="F233">
        <v>4591.33</v>
      </c>
      <c r="K233">
        <f t="shared" si="7"/>
        <v>4591.33</v>
      </c>
      <c r="R233">
        <f t="shared" si="6"/>
        <v>3.991250267746588</v>
      </c>
      <c r="S233" s="1"/>
    </row>
    <row r="234" spans="1:19" x14ac:dyDescent="0.2">
      <c r="A234" t="s">
        <v>19</v>
      </c>
      <c r="B234" t="s">
        <v>20</v>
      </c>
      <c r="C234">
        <v>378.262</v>
      </c>
      <c r="D234" s="2">
        <v>12263600</v>
      </c>
      <c r="E234">
        <v>119</v>
      </c>
      <c r="F234">
        <v>4615.1819999999998</v>
      </c>
      <c r="K234">
        <f t="shared" si="7"/>
        <v>4615.1819999999998</v>
      </c>
      <c r="R234">
        <f t="shared" si="6"/>
        <v>4.011984848224639</v>
      </c>
      <c r="S234" s="1"/>
    </row>
    <row r="235" spans="1:19" x14ac:dyDescent="0.2">
      <c r="A235" t="s">
        <v>19</v>
      </c>
      <c r="B235" t="s">
        <v>20</v>
      </c>
      <c r="C235">
        <v>378.065</v>
      </c>
      <c r="D235" s="2">
        <v>12257200</v>
      </c>
      <c r="E235">
        <v>116</v>
      </c>
      <c r="F235">
        <v>4673.2719999999999</v>
      </c>
      <c r="K235">
        <f t="shared" si="7"/>
        <v>4673.2719999999999</v>
      </c>
      <c r="R235">
        <f t="shared" si="6"/>
        <v>4.062482575038743</v>
      </c>
      <c r="S235" s="1"/>
    </row>
    <row r="236" spans="1:19" x14ac:dyDescent="0.2">
      <c r="A236" t="s">
        <v>19</v>
      </c>
      <c r="B236" t="s">
        <v>20</v>
      </c>
      <c r="C236">
        <v>376.75700000000001</v>
      </c>
      <c r="D236" s="2">
        <v>12214800</v>
      </c>
      <c r="E236">
        <v>115</v>
      </c>
      <c r="F236">
        <v>4716.6930000000002</v>
      </c>
      <c r="K236">
        <f t="shared" si="7"/>
        <v>4716.6930000000002</v>
      </c>
      <c r="R236">
        <f t="shared" si="6"/>
        <v>4.1002285174728144</v>
      </c>
      <c r="S236" s="1"/>
    </row>
    <row r="237" spans="1:19" x14ac:dyDescent="0.2">
      <c r="A237" t="s">
        <v>19</v>
      </c>
      <c r="B237" t="s">
        <v>20</v>
      </c>
      <c r="C237">
        <v>373.06</v>
      </c>
      <c r="D237" s="2">
        <v>12095000</v>
      </c>
      <c r="E237">
        <v>118</v>
      </c>
      <c r="F237">
        <v>4756.1180000000004</v>
      </c>
      <c r="K237">
        <f t="shared" si="7"/>
        <v>4756.1180000000004</v>
      </c>
      <c r="R237">
        <f t="shared" si="6"/>
        <v>4.1345007309285906</v>
      </c>
      <c r="S237" s="1"/>
    </row>
    <row r="238" spans="1:19" x14ac:dyDescent="0.2">
      <c r="A238" t="s">
        <v>19</v>
      </c>
      <c r="B238" t="s">
        <v>20</v>
      </c>
      <c r="C238">
        <v>373.93299999999999</v>
      </c>
      <c r="D238" s="2">
        <v>12123300</v>
      </c>
      <c r="E238">
        <v>111</v>
      </c>
      <c r="F238">
        <v>4768.1629999999996</v>
      </c>
      <c r="K238">
        <f t="shared" si="7"/>
        <v>4768.1629999999996</v>
      </c>
      <c r="R238">
        <f t="shared" si="6"/>
        <v>4.1449714680516045</v>
      </c>
      <c r="S238" s="1"/>
    </row>
    <row r="239" spans="1:19" x14ac:dyDescent="0.2">
      <c r="A239" t="s">
        <v>19</v>
      </c>
      <c r="B239" t="s">
        <v>20</v>
      </c>
      <c r="C239">
        <v>375.03800000000001</v>
      </c>
      <c r="D239" s="2">
        <v>12159100</v>
      </c>
      <c r="E239">
        <v>120</v>
      </c>
      <c r="F239">
        <v>4753.6120000000001</v>
      </c>
      <c r="K239">
        <f t="shared" si="7"/>
        <v>4753.6120000000001</v>
      </c>
      <c r="R239">
        <f t="shared" si="6"/>
        <v>4.1323222612540143</v>
      </c>
      <c r="S239" s="1"/>
    </row>
    <row r="240" spans="1:19" x14ac:dyDescent="0.2">
      <c r="A240" t="s">
        <v>19</v>
      </c>
      <c r="B240" t="s">
        <v>20</v>
      </c>
      <c r="C240">
        <v>373.68700000000001</v>
      </c>
      <c r="D240" s="2">
        <v>12115300</v>
      </c>
      <c r="E240">
        <v>104</v>
      </c>
      <c r="F240">
        <v>4750.9210000000003</v>
      </c>
      <c r="K240">
        <f t="shared" si="7"/>
        <v>4750.9210000000003</v>
      </c>
      <c r="R240">
        <f t="shared" si="6"/>
        <v>4.1299829707934057</v>
      </c>
      <c r="S240" s="1"/>
    </row>
    <row r="241" spans="1:19" x14ac:dyDescent="0.2">
      <c r="A241" t="s">
        <v>19</v>
      </c>
      <c r="B241" t="s">
        <v>20</v>
      </c>
      <c r="C241">
        <v>375.18299999999999</v>
      </c>
      <c r="D241" s="2">
        <v>12163800</v>
      </c>
      <c r="E241">
        <v>117</v>
      </c>
      <c r="F241">
        <v>4750.4210000000003</v>
      </c>
      <c r="K241">
        <f t="shared" si="7"/>
        <v>4750.4210000000003</v>
      </c>
      <c r="R241">
        <f t="shared" si="6"/>
        <v>4.129548320020346</v>
      </c>
      <c r="S241" s="1"/>
    </row>
    <row r="242" spans="1:19" x14ac:dyDescent="0.2">
      <c r="D242" s="2"/>
      <c r="F242">
        <v>4722.9110000000001</v>
      </c>
      <c r="K242">
        <f t="shared" si="7"/>
        <v>4722.9110000000001</v>
      </c>
      <c r="R242">
        <f t="shared" si="6"/>
        <v>4.1056338344865875</v>
      </c>
      <c r="S242" s="1"/>
    </row>
    <row r="243" spans="1:19" x14ac:dyDescent="0.2">
      <c r="D243" s="2"/>
      <c r="F243">
        <v>4727.3890000000001</v>
      </c>
      <c r="K243">
        <f t="shared" si="7"/>
        <v>4727.3890000000001</v>
      </c>
      <c r="R243">
        <f t="shared" si="6"/>
        <v>4.1095265668101124</v>
      </c>
      <c r="S243" s="1"/>
    </row>
    <row r="244" spans="1:19" x14ac:dyDescent="0.2">
      <c r="D244" s="2"/>
      <c r="F244">
        <v>4751.723</v>
      </c>
      <c r="K244">
        <f t="shared" si="7"/>
        <v>4751.723</v>
      </c>
      <c r="R244">
        <f t="shared" si="6"/>
        <v>4.1306801506333937</v>
      </c>
      <c r="S244" s="1"/>
    </row>
    <row r="245" spans="1:19" x14ac:dyDescent="0.2">
      <c r="D245" s="2"/>
      <c r="F245">
        <v>4716.4920000000002</v>
      </c>
      <c r="K245">
        <f t="shared" si="7"/>
        <v>4716.4920000000002</v>
      </c>
      <c r="R245">
        <f t="shared" si="6"/>
        <v>4.100053787862044</v>
      </c>
      <c r="S245" s="1"/>
    </row>
    <row r="246" spans="1:19" x14ac:dyDescent="0.2">
      <c r="D246" s="2"/>
      <c r="F246">
        <v>4716.1189999999997</v>
      </c>
      <c r="K246">
        <f t="shared" si="7"/>
        <v>4716.1189999999997</v>
      </c>
      <c r="R246">
        <f t="shared" si="6"/>
        <v>4.0997295383853416</v>
      </c>
      <c r="S246" s="1"/>
    </row>
    <row r="247" spans="1:19" x14ac:dyDescent="0.2">
      <c r="D247" s="2"/>
      <c r="F247">
        <v>4698.1719999999996</v>
      </c>
      <c r="K247">
        <f t="shared" si="7"/>
        <v>4698.1719999999996</v>
      </c>
      <c r="R247">
        <f t="shared" si="6"/>
        <v>4.0841281835371275</v>
      </c>
      <c r="S247" s="1"/>
    </row>
    <row r="248" spans="1:19" x14ac:dyDescent="0.2">
      <c r="D248" s="2"/>
      <c r="F248">
        <v>4604.07</v>
      </c>
      <c r="K248">
        <f t="shared" si="7"/>
        <v>4604.07</v>
      </c>
      <c r="R248">
        <f t="shared" si="6"/>
        <v>4.0023251694441546</v>
      </c>
      <c r="S248" s="1"/>
    </row>
    <row r="249" spans="1:19" x14ac:dyDescent="0.2">
      <c r="D249" s="2"/>
      <c r="F249">
        <v>4546.8</v>
      </c>
      <c r="K249">
        <f t="shared" si="7"/>
        <v>4546.8</v>
      </c>
      <c r="R249">
        <f t="shared" si="6"/>
        <v>3.9525402698978698</v>
      </c>
      <c r="S249" s="1"/>
    </row>
    <row r="250" spans="1:19" x14ac:dyDescent="0.2">
      <c r="D250" s="2"/>
      <c r="F250">
        <v>4522.4709999999995</v>
      </c>
      <c r="K250">
        <f t="shared" si="7"/>
        <v>4522.4709999999995</v>
      </c>
      <c r="R250">
        <f t="shared" si="6"/>
        <v>3.9313910325823187</v>
      </c>
      <c r="S250" s="1"/>
    </row>
    <row r="251" spans="1:19" x14ac:dyDescent="0.2">
      <c r="D251" s="2"/>
      <c r="F251">
        <v>4569.2190000000001</v>
      </c>
      <c r="K251">
        <f t="shared" si="7"/>
        <v>4569.2190000000001</v>
      </c>
      <c r="R251">
        <f t="shared" si="6"/>
        <v>3.9720291412603315</v>
      </c>
      <c r="S251" s="1"/>
    </row>
    <row r="252" spans="1:19" x14ac:dyDescent="0.2">
      <c r="D252" s="2"/>
      <c r="F252">
        <v>4551.107</v>
      </c>
      <c r="K252">
        <f t="shared" si="7"/>
        <v>4551.107</v>
      </c>
      <c r="R252">
        <f t="shared" si="6"/>
        <v>3.9562843516570081</v>
      </c>
      <c r="S252" s="1"/>
    </row>
    <row r="253" spans="1:19" x14ac:dyDescent="0.2">
      <c r="D253" s="2"/>
      <c r="F253">
        <v>4504.1629999999996</v>
      </c>
      <c r="K253">
        <f t="shared" si="7"/>
        <v>4504.1629999999996</v>
      </c>
      <c r="R253">
        <f t="shared" si="6"/>
        <v>3.915475859875956</v>
      </c>
      <c r="S253" s="1"/>
    </row>
    <row r="254" spans="1:19" x14ac:dyDescent="0.2">
      <c r="D254" s="2"/>
      <c r="F254">
        <v>4480.3909999999996</v>
      </c>
      <c r="K254">
        <f t="shared" si="7"/>
        <v>4480.3909999999996</v>
      </c>
      <c r="R254">
        <f t="shared" si="6"/>
        <v>3.8948108235215941</v>
      </c>
      <c r="S254" s="1"/>
    </row>
    <row r="255" spans="1:19" x14ac:dyDescent="0.2">
      <c r="D255" s="2"/>
      <c r="F255">
        <v>4453.5690000000004</v>
      </c>
      <c r="K255">
        <f t="shared" si="7"/>
        <v>4453.5690000000004</v>
      </c>
      <c r="R255">
        <f t="shared" si="6"/>
        <v>3.8714944174515673</v>
      </c>
      <c r="S255" s="1"/>
    </row>
    <row r="256" spans="1:19" x14ac:dyDescent="0.2">
      <c r="D256" s="2"/>
      <c r="F256">
        <v>4452.366</v>
      </c>
      <c r="K256">
        <f t="shared" si="7"/>
        <v>4452.366</v>
      </c>
      <c r="R256">
        <f t="shared" si="6"/>
        <v>3.8704486476915849</v>
      </c>
      <c r="S256" s="1"/>
    </row>
    <row r="257" spans="4:19" x14ac:dyDescent="0.2">
      <c r="D257" s="2"/>
      <c r="F257">
        <v>4433.018</v>
      </c>
      <c r="K257">
        <f t="shared" si="7"/>
        <v>4433.018</v>
      </c>
      <c r="R257">
        <f t="shared" si="6"/>
        <v>3.8536294013772574</v>
      </c>
      <c r="S257" s="1"/>
    </row>
    <row r="258" spans="4:19" x14ac:dyDescent="0.2">
      <c r="D258" s="2"/>
      <c r="F258">
        <v>4414.1850000000004</v>
      </c>
      <c r="K258">
        <f t="shared" si="7"/>
        <v>4414.1850000000004</v>
      </c>
      <c r="R258">
        <f t="shared" ref="R258:R321" si="8">F258/$H$2</f>
        <v>3.8372578453591819</v>
      </c>
      <c r="S258" s="1"/>
    </row>
    <row r="259" spans="4:19" x14ac:dyDescent="0.2">
      <c r="D259" s="2"/>
      <c r="F259">
        <v>4390.192</v>
      </c>
      <c r="K259">
        <f t="shared" ref="K259:K322" si="9">IF(F259&gt;($H$4+$H$4*(0.3+ABS($I$12))), F259, "BASELINE")</f>
        <v>4390.192</v>
      </c>
      <c r="R259">
        <f t="shared" si="8"/>
        <v>3.8164006933631276</v>
      </c>
      <c r="S259" s="1"/>
    </row>
    <row r="260" spans="4:19" x14ac:dyDescent="0.2">
      <c r="D260" s="2"/>
      <c r="F260">
        <v>4390.8519999999999</v>
      </c>
      <c r="K260">
        <f t="shared" si="9"/>
        <v>4390.8519999999999</v>
      </c>
      <c r="R260">
        <f t="shared" si="8"/>
        <v>3.8169744323835664</v>
      </c>
      <c r="S260" s="1"/>
    </row>
    <row r="261" spans="4:19" x14ac:dyDescent="0.2">
      <c r="D261" s="2"/>
      <c r="F261">
        <v>4359.0420000000004</v>
      </c>
      <c r="K261">
        <f t="shared" si="9"/>
        <v>4359.0420000000004</v>
      </c>
      <c r="R261">
        <f t="shared" si="8"/>
        <v>3.7893219502014936</v>
      </c>
      <c r="S261" s="1"/>
    </row>
    <row r="262" spans="4:19" x14ac:dyDescent="0.2">
      <c r="D262" s="2"/>
      <c r="F262">
        <v>4319.5379999999996</v>
      </c>
      <c r="K262">
        <f t="shared" si="9"/>
        <v>4319.5379999999996</v>
      </c>
      <c r="R262">
        <f t="shared" si="8"/>
        <v>3.7549810619235733</v>
      </c>
      <c r="S262" s="1"/>
    </row>
    <row r="263" spans="4:19" x14ac:dyDescent="0.2">
      <c r="D263" s="2"/>
      <c r="F263">
        <v>4254.4110000000001</v>
      </c>
      <c r="K263">
        <f t="shared" si="9"/>
        <v>4254.4110000000001</v>
      </c>
      <c r="R263">
        <f t="shared" si="8"/>
        <v>3.6983660601294241</v>
      </c>
      <c r="S263" s="1"/>
    </row>
    <row r="264" spans="4:19" x14ac:dyDescent="0.2">
      <c r="D264" s="2"/>
      <c r="F264">
        <v>4225.2820000000002</v>
      </c>
      <c r="K264">
        <f t="shared" si="9"/>
        <v>4225.2820000000002</v>
      </c>
      <c r="R264">
        <f t="shared" si="8"/>
        <v>3.6730441753924983</v>
      </c>
      <c r="S264" s="1"/>
    </row>
    <row r="265" spans="4:19" x14ac:dyDescent="0.2">
      <c r="D265" s="2"/>
      <c r="F265">
        <v>4122.2060000000001</v>
      </c>
      <c r="K265">
        <f t="shared" si="9"/>
        <v>4122.2060000000001</v>
      </c>
      <c r="R265">
        <f t="shared" si="8"/>
        <v>3.5834400492246457</v>
      </c>
      <c r="S265" s="1"/>
    </row>
    <row r="266" spans="4:19" x14ac:dyDescent="0.2">
      <c r="D266" s="2"/>
      <c r="F266">
        <v>4044.7249999999999</v>
      </c>
      <c r="K266">
        <f t="shared" si="9"/>
        <v>4044.7249999999999</v>
      </c>
      <c r="R266">
        <f t="shared" si="8"/>
        <v>3.5160856961297311</v>
      </c>
      <c r="S266" s="1"/>
    </row>
    <row r="267" spans="4:19" x14ac:dyDescent="0.2">
      <c r="D267" s="2"/>
      <c r="F267">
        <v>3915.4090000000001</v>
      </c>
      <c r="K267">
        <f t="shared" si="9"/>
        <v>3915.4090000000001</v>
      </c>
      <c r="R267">
        <f t="shared" si="8"/>
        <v>3.4036710973916926</v>
      </c>
      <c r="S267" s="1"/>
    </row>
    <row r="268" spans="4:19" x14ac:dyDescent="0.2">
      <c r="D268" s="2"/>
      <c r="F268">
        <v>3880.6480000000001</v>
      </c>
      <c r="K268">
        <f t="shared" si="9"/>
        <v>3880.6480000000001</v>
      </c>
      <c r="R268">
        <f t="shared" si="8"/>
        <v>3.3734533063470193</v>
      </c>
      <c r="S268" s="1"/>
    </row>
    <row r="269" spans="4:19" x14ac:dyDescent="0.2">
      <c r="D269" s="2"/>
      <c r="F269">
        <v>3901.212</v>
      </c>
      <c r="K269">
        <f t="shared" si="9"/>
        <v>3901.212</v>
      </c>
      <c r="R269">
        <f t="shared" si="8"/>
        <v>3.3913296233414285</v>
      </c>
      <c r="S269" s="1"/>
    </row>
    <row r="270" spans="4:19" x14ac:dyDescent="0.2">
      <c r="D270" s="2"/>
      <c r="F270">
        <v>3924.6880000000001</v>
      </c>
      <c r="K270">
        <f t="shared" si="9"/>
        <v>3924.6880000000001</v>
      </c>
      <c r="R270">
        <f t="shared" si="8"/>
        <v>3.4117373464381391</v>
      </c>
      <c r="S270" s="1"/>
    </row>
    <row r="271" spans="4:19" x14ac:dyDescent="0.2">
      <c r="D271" s="2"/>
      <c r="F271">
        <v>4003.7840000000001</v>
      </c>
      <c r="K271">
        <f t="shared" si="9"/>
        <v>4003.7840000000001</v>
      </c>
      <c r="R271">
        <f t="shared" si="8"/>
        <v>3.4804956215300371</v>
      </c>
      <c r="S271" s="1"/>
    </row>
    <row r="272" spans="4:19" x14ac:dyDescent="0.2">
      <c r="D272" s="2"/>
      <c r="F272">
        <v>4090.7150000000001</v>
      </c>
      <c r="K272">
        <f t="shared" si="9"/>
        <v>4090.7150000000001</v>
      </c>
      <c r="R272">
        <f t="shared" si="8"/>
        <v>3.5560648742357843</v>
      </c>
      <c r="S272" s="1"/>
    </row>
    <row r="273" spans="4:19" x14ac:dyDescent="0.2">
      <c r="D273" s="2"/>
      <c r="F273">
        <v>4075.779</v>
      </c>
      <c r="K273">
        <f t="shared" si="9"/>
        <v>4075.779</v>
      </c>
      <c r="R273">
        <f t="shared" si="8"/>
        <v>3.5430809863429378</v>
      </c>
      <c r="S273" s="1"/>
    </row>
    <row r="274" spans="4:19" x14ac:dyDescent="0.2">
      <c r="D274" s="2"/>
      <c r="F274">
        <v>4059.1619999999998</v>
      </c>
      <c r="K274">
        <f t="shared" si="9"/>
        <v>4059.1619999999998</v>
      </c>
      <c r="R274">
        <f t="shared" si="8"/>
        <v>3.5286358025510633</v>
      </c>
      <c r="S274" s="1"/>
    </row>
    <row r="275" spans="4:19" x14ac:dyDescent="0.2">
      <c r="D275" s="2"/>
      <c r="F275">
        <v>4029.8240000000001</v>
      </c>
      <c r="K275">
        <f t="shared" si="9"/>
        <v>4029.8240000000001</v>
      </c>
      <c r="R275">
        <f t="shared" si="8"/>
        <v>3.5031322337909985</v>
      </c>
      <c r="S275" s="1"/>
    </row>
    <row r="276" spans="4:19" x14ac:dyDescent="0.2">
      <c r="D276" s="2"/>
      <c r="F276">
        <v>4052.01</v>
      </c>
      <c r="K276">
        <f t="shared" si="9"/>
        <v>4052.01</v>
      </c>
      <c r="R276">
        <f t="shared" si="8"/>
        <v>3.5224185578932143</v>
      </c>
      <c r="S276" s="1"/>
    </row>
    <row r="277" spans="4:19" x14ac:dyDescent="0.2">
      <c r="D277" s="2"/>
      <c r="F277">
        <v>4111.8919999999998</v>
      </c>
      <c r="K277">
        <f t="shared" si="9"/>
        <v>4111.8919999999998</v>
      </c>
      <c r="R277">
        <f t="shared" si="8"/>
        <v>3.5744740730779649</v>
      </c>
      <c r="S277" s="1"/>
    </row>
    <row r="278" spans="4:19" x14ac:dyDescent="0.2">
      <c r="D278" s="2"/>
      <c r="F278">
        <v>4096.99</v>
      </c>
      <c r="K278">
        <f t="shared" si="9"/>
        <v>4096.99</v>
      </c>
      <c r="R278">
        <f t="shared" si="8"/>
        <v>3.5615197414376865</v>
      </c>
      <c r="S278" s="1"/>
    </row>
    <row r="279" spans="4:19" x14ac:dyDescent="0.2">
      <c r="D279" s="2"/>
      <c r="F279">
        <v>4065.9119999999998</v>
      </c>
      <c r="K279">
        <f t="shared" si="9"/>
        <v>4065.9119999999998</v>
      </c>
      <c r="R279">
        <f t="shared" si="8"/>
        <v>3.5345035879873725</v>
      </c>
      <c r="S279" s="1"/>
    </row>
    <row r="280" spans="4:19" x14ac:dyDescent="0.2">
      <c r="D280" s="2"/>
      <c r="F280">
        <v>4073.4540000000002</v>
      </c>
      <c r="K280">
        <f t="shared" si="9"/>
        <v>4073.4540000000002</v>
      </c>
      <c r="R280">
        <f t="shared" si="8"/>
        <v>3.5410598602482093</v>
      </c>
      <c r="S280" s="1"/>
    </row>
    <row r="281" spans="4:19" x14ac:dyDescent="0.2">
      <c r="D281" s="2"/>
      <c r="F281">
        <v>4041.4279999999999</v>
      </c>
      <c r="K281">
        <f t="shared" si="9"/>
        <v>4041.4279999999999</v>
      </c>
      <c r="R281">
        <f t="shared" si="8"/>
        <v>3.5132196089321734</v>
      </c>
      <c r="S281" s="1"/>
    </row>
    <row r="282" spans="4:19" x14ac:dyDescent="0.2">
      <c r="D282" s="2"/>
      <c r="F282">
        <v>3997.7820000000002</v>
      </c>
      <c r="K282">
        <f t="shared" si="9"/>
        <v>3997.7820000000002</v>
      </c>
      <c r="R282">
        <f t="shared" si="8"/>
        <v>3.4752780736502258</v>
      </c>
      <c r="S282" s="1"/>
    </row>
    <row r="283" spans="4:19" x14ac:dyDescent="0.2">
      <c r="D283" s="2"/>
      <c r="F283">
        <v>3905.027</v>
      </c>
      <c r="K283">
        <f t="shared" si="9"/>
        <v>3905.027</v>
      </c>
      <c r="R283">
        <f t="shared" si="8"/>
        <v>3.3946460087398762</v>
      </c>
      <c r="S283" s="1"/>
    </row>
    <row r="284" spans="4:19" x14ac:dyDescent="0.2">
      <c r="D284" s="2"/>
      <c r="F284">
        <v>3811.7579999999998</v>
      </c>
      <c r="K284">
        <f t="shared" si="9"/>
        <v>3811.7579999999998</v>
      </c>
      <c r="R284">
        <f t="shared" si="8"/>
        <v>3.3135671228348209</v>
      </c>
      <c r="S284" s="1"/>
    </row>
    <row r="285" spans="4:19" x14ac:dyDescent="0.2">
      <c r="D285" s="2"/>
      <c r="F285">
        <v>3727.808</v>
      </c>
      <c r="K285">
        <f t="shared" si="9"/>
        <v>3727.808</v>
      </c>
      <c r="R285">
        <f t="shared" si="8"/>
        <v>3.2405892580380571</v>
      </c>
      <c r="S285" s="1"/>
    </row>
    <row r="286" spans="4:19" x14ac:dyDescent="0.2">
      <c r="D286" s="2"/>
      <c r="F286">
        <v>3663.3789999999999</v>
      </c>
      <c r="K286">
        <f t="shared" si="9"/>
        <v>3663.3789999999999</v>
      </c>
      <c r="R286">
        <f t="shared" si="8"/>
        <v>3.1845810287230991</v>
      </c>
      <c r="S286" s="1"/>
    </row>
    <row r="287" spans="4:19" x14ac:dyDescent="0.2">
      <c r="D287" s="2"/>
      <c r="F287">
        <v>3619.8620000000001</v>
      </c>
      <c r="K287">
        <f t="shared" si="9"/>
        <v>3619.8620000000001</v>
      </c>
      <c r="R287">
        <f t="shared" si="8"/>
        <v>3.1467516333406005</v>
      </c>
      <c r="S287" s="1"/>
    </row>
    <row r="288" spans="4:19" x14ac:dyDescent="0.2">
      <c r="D288" s="2"/>
      <c r="F288">
        <v>3638.6329999999998</v>
      </c>
      <c r="K288">
        <f t="shared" si="9"/>
        <v>3638.6329999999998</v>
      </c>
      <c r="R288">
        <f t="shared" si="8"/>
        <v>3.1630692926628163</v>
      </c>
      <c r="S288" s="1"/>
    </row>
    <row r="289" spans="4:19" x14ac:dyDescent="0.2">
      <c r="D289" s="2"/>
      <c r="F289">
        <v>3652.627</v>
      </c>
      <c r="K289">
        <f t="shared" si="9"/>
        <v>3652.627</v>
      </c>
      <c r="R289">
        <f t="shared" si="8"/>
        <v>3.1752342984992183</v>
      </c>
      <c r="S289" s="1"/>
    </row>
    <row r="290" spans="4:19" x14ac:dyDescent="0.2">
      <c r="D290" s="2"/>
      <c r="F290">
        <v>3600.9079999999999</v>
      </c>
      <c r="K290">
        <f t="shared" si="9"/>
        <v>3600.9079999999999</v>
      </c>
      <c r="R290">
        <f t="shared" si="8"/>
        <v>3.1302748918354442</v>
      </c>
      <c r="S290" s="1"/>
    </row>
    <row r="291" spans="4:19" x14ac:dyDescent="0.2">
      <c r="D291" s="2"/>
      <c r="F291">
        <v>3529.3020000000001</v>
      </c>
      <c r="K291">
        <f t="shared" si="9"/>
        <v>3529.3020000000001</v>
      </c>
      <c r="R291">
        <f t="shared" si="8"/>
        <v>3.0680276853239841</v>
      </c>
      <c r="S291" s="1"/>
    </row>
    <row r="292" spans="4:19" x14ac:dyDescent="0.2">
      <c r="D292" s="2"/>
      <c r="F292">
        <v>3484.1109999999999</v>
      </c>
      <c r="K292">
        <f t="shared" si="9"/>
        <v>3484.1109999999999</v>
      </c>
      <c r="R292">
        <f t="shared" si="8"/>
        <v>3.0287430791532803</v>
      </c>
      <c r="S292" s="1"/>
    </row>
    <row r="293" spans="4:19" x14ac:dyDescent="0.2">
      <c r="D293" s="2"/>
      <c r="F293">
        <v>3365.7179999999998</v>
      </c>
      <c r="K293">
        <f t="shared" si="9"/>
        <v>3365.7179999999998</v>
      </c>
      <c r="R293">
        <f t="shared" si="8"/>
        <v>2.9258238612035097</v>
      </c>
      <c r="S293" s="1"/>
    </row>
    <row r="294" spans="4:19" x14ac:dyDescent="0.2">
      <c r="D294" s="2"/>
      <c r="F294">
        <v>3213.2629999999999</v>
      </c>
      <c r="K294">
        <f t="shared" si="9"/>
        <v>3213.2629999999999</v>
      </c>
      <c r="R294">
        <f t="shared" si="8"/>
        <v>2.7932944939898032</v>
      </c>
      <c r="S294" s="1"/>
    </row>
    <row r="295" spans="4:19" x14ac:dyDescent="0.2">
      <c r="D295" s="2"/>
      <c r="F295">
        <v>3124.547</v>
      </c>
      <c r="K295">
        <f t="shared" si="9"/>
        <v>3124.547</v>
      </c>
      <c r="R295">
        <f t="shared" si="8"/>
        <v>2.7161735380242322</v>
      </c>
      <c r="S295" s="1"/>
    </row>
    <row r="296" spans="4:19" x14ac:dyDescent="0.2">
      <c r="D296" s="2"/>
      <c r="F296">
        <v>3110.5859999999998</v>
      </c>
      <c r="K296">
        <f t="shared" si="9"/>
        <v>3110.5859999999998</v>
      </c>
      <c r="R296">
        <f t="shared" si="8"/>
        <v>2.7040372191388524</v>
      </c>
      <c r="S296" s="1"/>
    </row>
    <row r="297" spans="4:19" x14ac:dyDescent="0.2">
      <c r="D297" s="2"/>
      <c r="F297">
        <v>3126.4110000000001</v>
      </c>
      <c r="K297">
        <f t="shared" si="9"/>
        <v>3126.4110000000001</v>
      </c>
      <c r="R297">
        <f t="shared" si="8"/>
        <v>2.7177939161061997</v>
      </c>
      <c r="S297" s="1"/>
    </row>
    <row r="298" spans="4:19" x14ac:dyDescent="0.2">
      <c r="D298" s="2"/>
      <c r="F298">
        <v>3342.9319999999998</v>
      </c>
      <c r="K298">
        <f t="shared" si="9"/>
        <v>3342.9319999999998</v>
      </c>
      <c r="R298">
        <f t="shared" si="8"/>
        <v>2.9060159561736221</v>
      </c>
      <c r="S298" s="1"/>
    </row>
    <row r="299" spans="4:19" x14ac:dyDescent="0.2">
      <c r="D299" s="2"/>
      <c r="F299">
        <v>3902.4769999999999</v>
      </c>
      <c r="K299">
        <f t="shared" si="9"/>
        <v>3902.4769999999999</v>
      </c>
      <c r="R299">
        <f t="shared" si="8"/>
        <v>3.3924292897972701</v>
      </c>
      <c r="S299" s="1"/>
    </row>
    <row r="300" spans="4:19" x14ac:dyDescent="0.2">
      <c r="D300" s="2"/>
      <c r="F300">
        <v>4126.6049999999996</v>
      </c>
      <c r="K300">
        <f t="shared" si="9"/>
        <v>4126.6049999999996</v>
      </c>
      <c r="R300">
        <f t="shared" si="8"/>
        <v>3.5872641067260265</v>
      </c>
      <c r="S300" s="1"/>
    </row>
    <row r="301" spans="4:19" x14ac:dyDescent="0.2">
      <c r="D301" s="2"/>
      <c r="F301">
        <v>4242.1620000000003</v>
      </c>
      <c r="K301">
        <f t="shared" si="9"/>
        <v>4242.1620000000003</v>
      </c>
      <c r="R301">
        <f t="shared" si="8"/>
        <v>3.6877179854910018</v>
      </c>
      <c r="S301" s="1"/>
    </row>
    <row r="302" spans="4:19" x14ac:dyDescent="0.2">
      <c r="F302">
        <v>4328.3410000000003</v>
      </c>
      <c r="K302">
        <f t="shared" si="9"/>
        <v>4328.3410000000003</v>
      </c>
      <c r="R302">
        <f t="shared" si="8"/>
        <v>3.7626335234340673</v>
      </c>
    </row>
    <row r="303" spans="4:19" x14ac:dyDescent="0.2">
      <c r="F303">
        <v>4308.6099999999997</v>
      </c>
      <c r="K303">
        <f t="shared" si="9"/>
        <v>4308.6099999999997</v>
      </c>
      <c r="R303">
        <f t="shared" si="8"/>
        <v>3.7454813346275753</v>
      </c>
    </row>
    <row r="304" spans="4:19" x14ac:dyDescent="0.2">
      <c r="F304">
        <v>4249.1499999999996</v>
      </c>
      <c r="K304">
        <f t="shared" si="9"/>
        <v>4249.1499999999996</v>
      </c>
      <c r="R304">
        <f t="shared" si="8"/>
        <v>3.693792664695287</v>
      </c>
    </row>
    <row r="305" spans="6:18" x14ac:dyDescent="0.2">
      <c r="F305">
        <v>4232.4769999999999</v>
      </c>
      <c r="K305">
        <f t="shared" si="9"/>
        <v>4232.4769999999999</v>
      </c>
      <c r="R305">
        <f t="shared" si="8"/>
        <v>3.6792988000168303</v>
      </c>
    </row>
    <row r="306" spans="6:18" x14ac:dyDescent="0.2">
      <c r="F306">
        <v>4215.2309999999998</v>
      </c>
      <c r="K306">
        <f t="shared" si="9"/>
        <v>4215.2309999999998</v>
      </c>
      <c r="R306">
        <f t="shared" si="8"/>
        <v>3.6643068255524471</v>
      </c>
    </row>
    <row r="307" spans="6:18" x14ac:dyDescent="0.2">
      <c r="F307">
        <v>4157.3789999999999</v>
      </c>
      <c r="K307">
        <f t="shared" si="9"/>
        <v>4157.3789999999999</v>
      </c>
      <c r="R307">
        <f t="shared" si="8"/>
        <v>3.61401599250632</v>
      </c>
    </row>
    <row r="308" spans="6:18" x14ac:dyDescent="0.2">
      <c r="F308">
        <v>4140.3549999999996</v>
      </c>
      <c r="K308">
        <f t="shared" si="9"/>
        <v>4140.3549999999996</v>
      </c>
      <c r="R308">
        <f t="shared" si="8"/>
        <v>3.5992170029851747</v>
      </c>
    </row>
    <row r="309" spans="6:18" x14ac:dyDescent="0.2">
      <c r="F309">
        <v>4150.8419999999996</v>
      </c>
      <c r="K309">
        <f t="shared" si="9"/>
        <v>4150.8419999999996</v>
      </c>
      <c r="R309">
        <f t="shared" si="8"/>
        <v>3.6083333682993342</v>
      </c>
    </row>
    <row r="310" spans="6:18" x14ac:dyDescent="0.2">
      <c r="F310">
        <v>4124.598</v>
      </c>
      <c r="K310">
        <f t="shared" si="9"/>
        <v>4124.598</v>
      </c>
      <c r="R310">
        <f t="shared" si="8"/>
        <v>3.585519418522964</v>
      </c>
    </row>
    <row r="311" spans="6:18" x14ac:dyDescent="0.2">
      <c r="F311">
        <v>4051.5749999999998</v>
      </c>
      <c r="K311">
        <f t="shared" si="9"/>
        <v>4051.5749999999998</v>
      </c>
      <c r="R311">
        <f t="shared" si="8"/>
        <v>3.5220404117206519</v>
      </c>
    </row>
    <row r="312" spans="6:18" x14ac:dyDescent="0.2">
      <c r="F312">
        <v>3979.5830000000001</v>
      </c>
      <c r="K312">
        <f t="shared" si="9"/>
        <v>3979.5830000000001</v>
      </c>
      <c r="R312">
        <f t="shared" si="8"/>
        <v>3.4594576548123896</v>
      </c>
    </row>
    <row r="313" spans="6:18" x14ac:dyDescent="0.2">
      <c r="F313">
        <v>3933.163</v>
      </c>
      <c r="K313">
        <f t="shared" si="9"/>
        <v>3933.163</v>
      </c>
      <c r="R313">
        <f t="shared" si="8"/>
        <v>3.419104677041505</v>
      </c>
    </row>
    <row r="314" spans="6:18" x14ac:dyDescent="0.2">
      <c r="F314">
        <v>3885.8560000000002</v>
      </c>
      <c r="K314">
        <f t="shared" si="9"/>
        <v>3885.8560000000002</v>
      </c>
      <c r="R314">
        <f t="shared" si="8"/>
        <v>3.3779806287992118</v>
      </c>
    </row>
    <row r="315" spans="6:18" x14ac:dyDescent="0.2">
      <c r="F315">
        <v>3852.8429999999998</v>
      </c>
      <c r="K315">
        <f t="shared" si="9"/>
        <v>3852.8429999999998</v>
      </c>
      <c r="R315">
        <f t="shared" si="8"/>
        <v>3.3492823768571562</v>
      </c>
    </row>
    <row r="316" spans="6:18" x14ac:dyDescent="0.2">
      <c r="F316">
        <v>3859.8789999999999</v>
      </c>
      <c r="K316">
        <f t="shared" si="9"/>
        <v>3859.8789999999999</v>
      </c>
      <c r="R316">
        <f t="shared" si="8"/>
        <v>3.3553987825356555</v>
      </c>
    </row>
    <row r="317" spans="6:18" x14ac:dyDescent="0.2">
      <c r="F317">
        <v>3831.5369999999998</v>
      </c>
      <c r="K317">
        <f t="shared" si="9"/>
        <v>3831.5369999999998</v>
      </c>
      <c r="R317">
        <f t="shared" si="8"/>
        <v>3.3307610381155257</v>
      </c>
    </row>
    <row r="318" spans="6:18" x14ac:dyDescent="0.2">
      <c r="F318">
        <v>3844.4639999999999</v>
      </c>
      <c r="K318">
        <f t="shared" si="9"/>
        <v>3844.4639999999999</v>
      </c>
      <c r="R318">
        <f t="shared" si="8"/>
        <v>3.3419984992022176</v>
      </c>
    </row>
    <row r="319" spans="6:18" x14ac:dyDescent="0.2">
      <c r="F319">
        <v>3855.3119999999999</v>
      </c>
      <c r="K319">
        <f t="shared" si="9"/>
        <v>3855.3119999999999</v>
      </c>
      <c r="R319">
        <f t="shared" si="8"/>
        <v>3.3514286823745261</v>
      </c>
    </row>
    <row r="320" spans="6:18" x14ac:dyDescent="0.2">
      <c r="F320">
        <v>3891.047</v>
      </c>
      <c r="K320">
        <f t="shared" si="9"/>
        <v>3891.047</v>
      </c>
      <c r="R320">
        <f t="shared" si="8"/>
        <v>3.3824931731251202</v>
      </c>
    </row>
    <row r="321" spans="6:18" x14ac:dyDescent="0.2">
      <c r="F321">
        <v>3897.3589999999999</v>
      </c>
      <c r="K321">
        <f t="shared" si="9"/>
        <v>3897.3589999999999</v>
      </c>
      <c r="R321">
        <f t="shared" si="8"/>
        <v>3.3879802044842289</v>
      </c>
    </row>
    <row r="322" spans="6:18" x14ac:dyDescent="0.2">
      <c r="F322">
        <v>3916.8389999999999</v>
      </c>
      <c r="K322">
        <f t="shared" si="9"/>
        <v>3916.8389999999999</v>
      </c>
      <c r="R322">
        <f t="shared" ref="R322:R385" si="10">F322/$H$2</f>
        <v>3.4049141986026439</v>
      </c>
    </row>
    <row r="323" spans="6:18" x14ac:dyDescent="0.2">
      <c r="F323">
        <v>3898.7109999999998</v>
      </c>
      <c r="K323">
        <f t="shared" ref="K323:K386" si="11">IF(F323&gt;($H$4+$H$4*(0.3+ABS($I$12))), F323, "BASELINE")</f>
        <v>3898.7109999999998</v>
      </c>
      <c r="R323">
        <f t="shared" si="10"/>
        <v>3.3891555001745828</v>
      </c>
    </row>
    <row r="324" spans="6:18" x14ac:dyDescent="0.2">
      <c r="F324">
        <v>3857.0909999999999</v>
      </c>
      <c r="K324">
        <f t="shared" si="11"/>
        <v>3857.0909999999999</v>
      </c>
      <c r="R324">
        <f t="shared" si="10"/>
        <v>3.3529751698250734</v>
      </c>
    </row>
    <row r="325" spans="6:18" x14ac:dyDescent="0.2">
      <c r="F325">
        <v>3778.43</v>
      </c>
      <c r="K325">
        <f t="shared" si="11"/>
        <v>3778.43</v>
      </c>
      <c r="R325">
        <f t="shared" si="10"/>
        <v>3.2845950409057374</v>
      </c>
    </row>
    <row r="326" spans="6:18" x14ac:dyDescent="0.2">
      <c r="F326">
        <v>3686.518</v>
      </c>
      <c r="K326">
        <f t="shared" si="11"/>
        <v>3686.518</v>
      </c>
      <c r="R326">
        <f t="shared" si="10"/>
        <v>3.2046957971987671</v>
      </c>
    </row>
    <row r="327" spans="6:18" x14ac:dyDescent="0.2">
      <c r="F327">
        <v>3633.4450000000002</v>
      </c>
      <c r="K327">
        <f t="shared" si="11"/>
        <v>3633.4450000000002</v>
      </c>
      <c r="R327">
        <f t="shared" si="10"/>
        <v>3.1585593562415468</v>
      </c>
    </row>
    <row r="328" spans="6:18" x14ac:dyDescent="0.2">
      <c r="F328">
        <v>3609.4009999999998</v>
      </c>
      <c r="K328">
        <f t="shared" si="11"/>
        <v>3609.4009999999998</v>
      </c>
      <c r="R328">
        <f t="shared" si="10"/>
        <v>3.1376578698666404</v>
      </c>
    </row>
    <row r="329" spans="6:18" x14ac:dyDescent="0.2">
      <c r="F329">
        <v>3606.692</v>
      </c>
      <c r="K329">
        <f t="shared" si="11"/>
        <v>3606.692</v>
      </c>
      <c r="R329">
        <f t="shared" si="10"/>
        <v>3.1353029319782015</v>
      </c>
    </row>
    <row r="330" spans="6:18" x14ac:dyDescent="0.2">
      <c r="F330">
        <v>3561.297</v>
      </c>
      <c r="K330">
        <f t="shared" si="11"/>
        <v>3561.297</v>
      </c>
      <c r="R330">
        <f t="shared" si="10"/>
        <v>3.0958409882920899</v>
      </c>
    </row>
    <row r="331" spans="6:18" x14ac:dyDescent="0.2">
      <c r="F331">
        <v>3534.067</v>
      </c>
      <c r="K331">
        <f t="shared" si="11"/>
        <v>3534.067</v>
      </c>
      <c r="R331">
        <f t="shared" si="10"/>
        <v>3.0721699071912454</v>
      </c>
    </row>
    <row r="332" spans="6:18" x14ac:dyDescent="0.2">
      <c r="F332">
        <v>3480.9769999999999</v>
      </c>
      <c r="K332">
        <f t="shared" si="11"/>
        <v>3480.9769999999999</v>
      </c>
      <c r="R332">
        <f t="shared" si="10"/>
        <v>3.0260186881077407</v>
      </c>
    </row>
    <row r="333" spans="6:18" x14ac:dyDescent="0.2">
      <c r="F333">
        <v>3428.03</v>
      </c>
      <c r="K333">
        <f t="shared" si="11"/>
        <v>3428.03</v>
      </c>
      <c r="R333">
        <f t="shared" si="10"/>
        <v>2.9799917791453319</v>
      </c>
    </row>
    <row r="334" spans="6:18" x14ac:dyDescent="0.2">
      <c r="F334">
        <v>3410.0659999999998</v>
      </c>
      <c r="K334">
        <f t="shared" si="11"/>
        <v>3410.0659999999998</v>
      </c>
      <c r="R334">
        <f t="shared" si="10"/>
        <v>2.9643756461708342</v>
      </c>
    </row>
    <row r="335" spans="6:18" x14ac:dyDescent="0.2">
      <c r="F335">
        <v>3439.88</v>
      </c>
      <c r="K335">
        <f t="shared" si="11"/>
        <v>3439.88</v>
      </c>
      <c r="R335">
        <f t="shared" si="10"/>
        <v>2.9902930024668524</v>
      </c>
    </row>
    <row r="336" spans="6:18" x14ac:dyDescent="0.2">
      <c r="F336">
        <v>3424.5880000000002</v>
      </c>
      <c r="K336">
        <f t="shared" si="11"/>
        <v>3424.5880000000002</v>
      </c>
      <c r="R336">
        <f t="shared" si="10"/>
        <v>2.976999643223587</v>
      </c>
    </row>
    <row r="337" spans="6:18" x14ac:dyDescent="0.2">
      <c r="F337">
        <v>3436.1190000000001</v>
      </c>
      <c r="K337">
        <f t="shared" si="11"/>
        <v>3436.1190000000001</v>
      </c>
      <c r="R337">
        <f t="shared" si="10"/>
        <v>2.9870235593518957</v>
      </c>
    </row>
    <row r="338" spans="6:18" x14ac:dyDescent="0.2">
      <c r="F338">
        <v>3498.85</v>
      </c>
      <c r="K338">
        <f t="shared" si="11"/>
        <v>3498.85</v>
      </c>
      <c r="R338">
        <f t="shared" si="10"/>
        <v>3.0415557146415413</v>
      </c>
    </row>
    <row r="339" spans="6:18" x14ac:dyDescent="0.2">
      <c r="F339">
        <v>3561.2860000000001</v>
      </c>
      <c r="K339">
        <f t="shared" si="11"/>
        <v>3561.2860000000001</v>
      </c>
      <c r="R339">
        <f t="shared" si="10"/>
        <v>3.0958314259750823</v>
      </c>
    </row>
    <row r="340" spans="6:18" x14ac:dyDescent="0.2">
      <c r="F340">
        <v>3603.6329999999998</v>
      </c>
      <c r="K340">
        <f t="shared" si="11"/>
        <v>3603.6329999999998</v>
      </c>
      <c r="R340">
        <f t="shared" si="10"/>
        <v>3.1326437385486208</v>
      </c>
    </row>
    <row r="341" spans="6:18" x14ac:dyDescent="0.2">
      <c r="F341">
        <v>3646.65</v>
      </c>
      <c r="K341">
        <f t="shared" si="11"/>
        <v>3646.65</v>
      </c>
      <c r="R341">
        <f t="shared" si="10"/>
        <v>3.1700384831580597</v>
      </c>
    </row>
    <row r="342" spans="6:18" x14ac:dyDescent="0.2">
      <c r="F342">
        <v>3713.855</v>
      </c>
      <c r="K342">
        <f t="shared" si="11"/>
        <v>3713.855</v>
      </c>
      <c r="R342">
        <f t="shared" si="10"/>
        <v>3.2284598935650464</v>
      </c>
    </row>
    <row r="343" spans="6:18" x14ac:dyDescent="0.2">
      <c r="F343">
        <v>3756.172</v>
      </c>
      <c r="K343">
        <f t="shared" si="11"/>
        <v>3756.172</v>
      </c>
      <c r="R343">
        <f t="shared" si="10"/>
        <v>3.2652461270922011</v>
      </c>
    </row>
    <row r="344" spans="6:18" x14ac:dyDescent="0.2">
      <c r="F344">
        <v>3796.509</v>
      </c>
      <c r="K344">
        <f t="shared" si="11"/>
        <v>3796.509</v>
      </c>
      <c r="R344">
        <f t="shared" si="10"/>
        <v>3.300311143558039</v>
      </c>
    </row>
    <row r="345" spans="6:18" x14ac:dyDescent="0.2">
      <c r="F345">
        <v>3798.9110000000001</v>
      </c>
      <c r="K345">
        <f t="shared" si="11"/>
        <v>3798.9110000000001</v>
      </c>
      <c r="R345">
        <f t="shared" si="10"/>
        <v>3.302399205871819</v>
      </c>
    </row>
    <row r="346" spans="6:18" x14ac:dyDescent="0.2">
      <c r="F346">
        <v>3795.0070000000001</v>
      </c>
      <c r="K346">
        <f t="shared" si="11"/>
        <v>3795.0070000000001</v>
      </c>
      <c r="R346">
        <f t="shared" si="10"/>
        <v>3.2990054526357668</v>
      </c>
    </row>
    <row r="347" spans="6:18" x14ac:dyDescent="0.2">
      <c r="F347">
        <v>3792.4369999999999</v>
      </c>
      <c r="K347">
        <f t="shared" si="11"/>
        <v>3792.4369999999999</v>
      </c>
      <c r="R347">
        <f t="shared" si="10"/>
        <v>3.2967713476622387</v>
      </c>
    </row>
    <row r="348" spans="6:18" x14ac:dyDescent="0.2">
      <c r="F348">
        <v>3767.1469999999999</v>
      </c>
      <c r="K348">
        <f t="shared" si="11"/>
        <v>3767.1469999999999</v>
      </c>
      <c r="R348">
        <f t="shared" si="10"/>
        <v>3.2747867115608669</v>
      </c>
    </row>
    <row r="349" spans="6:18" x14ac:dyDescent="0.2">
      <c r="F349">
        <v>3750.692</v>
      </c>
      <c r="K349">
        <f t="shared" si="11"/>
        <v>3750.692</v>
      </c>
      <c r="R349">
        <f t="shared" si="10"/>
        <v>3.2604823546194641</v>
      </c>
    </row>
    <row r="350" spans="6:18" x14ac:dyDescent="0.2">
      <c r="F350">
        <v>3732.1840000000002</v>
      </c>
      <c r="K350">
        <f t="shared" si="11"/>
        <v>3732.1840000000002</v>
      </c>
      <c r="R350">
        <f t="shared" si="10"/>
        <v>3.2443933216038778</v>
      </c>
    </row>
    <row r="351" spans="6:18" x14ac:dyDescent="0.2">
      <c r="F351">
        <v>3677.1060000000002</v>
      </c>
      <c r="K351">
        <f t="shared" si="11"/>
        <v>3677.1060000000002</v>
      </c>
      <c r="R351">
        <f t="shared" si="10"/>
        <v>3.1965139310466872</v>
      </c>
    </row>
    <row r="352" spans="6:18" x14ac:dyDescent="0.2">
      <c r="F352">
        <v>3708.212</v>
      </c>
      <c r="K352">
        <f t="shared" si="11"/>
        <v>3708.212</v>
      </c>
      <c r="R352">
        <f t="shared" si="10"/>
        <v>3.2235544249402919</v>
      </c>
    </row>
    <row r="353" spans="6:18" x14ac:dyDescent="0.2">
      <c r="F353">
        <v>3750.6529999999998</v>
      </c>
      <c r="K353">
        <f t="shared" si="11"/>
        <v>3750.6529999999998</v>
      </c>
      <c r="R353">
        <f t="shared" si="10"/>
        <v>3.2604484518591654</v>
      </c>
    </row>
    <row r="354" spans="6:18" x14ac:dyDescent="0.2">
      <c r="F354">
        <v>3709.4470000000001</v>
      </c>
      <c r="K354">
        <f t="shared" si="11"/>
        <v>3709.4470000000001</v>
      </c>
      <c r="R354">
        <f t="shared" si="10"/>
        <v>3.2246280123497502</v>
      </c>
    </row>
    <row r="355" spans="6:18" x14ac:dyDescent="0.2">
      <c r="F355">
        <v>3623.0929999999998</v>
      </c>
      <c r="K355">
        <f t="shared" si="11"/>
        <v>3623.0929999999998</v>
      </c>
      <c r="R355">
        <f t="shared" si="10"/>
        <v>3.1495603466361137</v>
      </c>
    </row>
    <row r="356" spans="6:18" x14ac:dyDescent="0.2">
      <c r="F356">
        <v>3499.0859999999998</v>
      </c>
      <c r="K356">
        <f t="shared" si="11"/>
        <v>3499.0859999999998</v>
      </c>
      <c r="R356">
        <f t="shared" si="10"/>
        <v>3.0417608698064256</v>
      </c>
    </row>
    <row r="357" spans="6:18" x14ac:dyDescent="0.2">
      <c r="F357">
        <v>3438.6970000000001</v>
      </c>
      <c r="K357">
        <f t="shared" si="11"/>
        <v>3438.6970000000001</v>
      </c>
      <c r="R357">
        <f t="shared" si="10"/>
        <v>2.9892646187377925</v>
      </c>
    </row>
    <row r="358" spans="6:18" x14ac:dyDescent="0.2">
      <c r="F358">
        <v>3409.4389999999999</v>
      </c>
      <c r="K358">
        <f t="shared" si="11"/>
        <v>3409.4389999999999</v>
      </c>
      <c r="R358">
        <f t="shared" si="10"/>
        <v>2.9638305941014167</v>
      </c>
    </row>
    <row r="359" spans="6:18" x14ac:dyDescent="0.2">
      <c r="F359">
        <v>3386.1170000000002</v>
      </c>
      <c r="K359">
        <f t="shared" si="11"/>
        <v>3386.1170000000002</v>
      </c>
      <c r="R359">
        <f t="shared" si="10"/>
        <v>2.9435567434428092</v>
      </c>
    </row>
    <row r="360" spans="6:18" x14ac:dyDescent="0.2">
      <c r="F360">
        <v>3388.857</v>
      </c>
      <c r="K360">
        <f t="shared" si="11"/>
        <v>3388.857</v>
      </c>
      <c r="R360">
        <f t="shared" si="10"/>
        <v>2.9459386296791776</v>
      </c>
    </row>
    <row r="361" spans="6:18" x14ac:dyDescent="0.2">
      <c r="F361">
        <v>3377.451</v>
      </c>
      <c r="K361">
        <f t="shared" si="11"/>
        <v>3377.451</v>
      </c>
      <c r="R361">
        <f t="shared" si="10"/>
        <v>2.9360233762441341</v>
      </c>
    </row>
    <row r="362" spans="6:18" x14ac:dyDescent="0.2">
      <c r="F362">
        <v>3355.596</v>
      </c>
      <c r="K362">
        <f t="shared" si="11"/>
        <v>3355.596</v>
      </c>
      <c r="R362">
        <f t="shared" si="10"/>
        <v>2.9170247909536844</v>
      </c>
    </row>
    <row r="363" spans="6:18" x14ac:dyDescent="0.2">
      <c r="F363">
        <v>3357.0549999999998</v>
      </c>
      <c r="K363">
        <f t="shared" si="11"/>
        <v>3357.0549999999998</v>
      </c>
      <c r="R363">
        <f t="shared" si="10"/>
        <v>2.9182931019094731</v>
      </c>
    </row>
    <row r="364" spans="6:18" x14ac:dyDescent="0.2">
      <c r="F364">
        <v>3366.2579999999998</v>
      </c>
      <c r="K364">
        <f t="shared" si="11"/>
        <v>3366.2579999999998</v>
      </c>
      <c r="R364">
        <f t="shared" si="10"/>
        <v>2.9262932840384144</v>
      </c>
    </row>
    <row r="365" spans="6:18" x14ac:dyDescent="0.2">
      <c r="F365">
        <v>3368.0680000000002</v>
      </c>
      <c r="K365">
        <f t="shared" si="11"/>
        <v>3368.0680000000002</v>
      </c>
      <c r="R365">
        <f t="shared" si="10"/>
        <v>2.9278667198368917</v>
      </c>
    </row>
    <row r="366" spans="6:18" x14ac:dyDescent="0.2">
      <c r="F366">
        <v>3349.1680000000001</v>
      </c>
      <c r="K366">
        <f t="shared" si="11"/>
        <v>3349.1680000000001</v>
      </c>
      <c r="R366">
        <f t="shared" si="10"/>
        <v>2.911436920615226</v>
      </c>
    </row>
    <row r="367" spans="6:18" x14ac:dyDescent="0.2">
      <c r="F367">
        <v>3379.9070000000002</v>
      </c>
      <c r="K367">
        <f t="shared" si="11"/>
        <v>3379.9070000000002</v>
      </c>
      <c r="R367">
        <f t="shared" si="10"/>
        <v>2.9381583808414047</v>
      </c>
    </row>
    <row r="368" spans="6:18" x14ac:dyDescent="0.2">
      <c r="F368">
        <v>3424.54</v>
      </c>
      <c r="K368">
        <f t="shared" si="11"/>
        <v>3424.54</v>
      </c>
      <c r="R368">
        <f t="shared" si="10"/>
        <v>2.9769579167493734</v>
      </c>
    </row>
    <row r="369" spans="6:18" x14ac:dyDescent="0.2">
      <c r="F369">
        <v>3420.04</v>
      </c>
      <c r="K369">
        <f t="shared" si="11"/>
        <v>3420.04</v>
      </c>
      <c r="R369">
        <f t="shared" si="10"/>
        <v>2.9730460597918338</v>
      </c>
    </row>
    <row r="370" spans="6:18" x14ac:dyDescent="0.2">
      <c r="F370">
        <v>3398.1039999999998</v>
      </c>
      <c r="K370">
        <f t="shared" si="11"/>
        <v>3398.1039999999998</v>
      </c>
      <c r="R370">
        <f t="shared" si="10"/>
        <v>2.9539770610761478</v>
      </c>
    </row>
    <row r="371" spans="6:18" x14ac:dyDescent="0.2">
      <c r="F371">
        <v>3366.799</v>
      </c>
      <c r="K371">
        <f t="shared" si="11"/>
        <v>3366.799</v>
      </c>
      <c r="R371">
        <f t="shared" si="10"/>
        <v>2.9267635761748654</v>
      </c>
    </row>
    <row r="372" spans="6:18" x14ac:dyDescent="0.2">
      <c r="F372">
        <v>3318.904</v>
      </c>
      <c r="K372">
        <f t="shared" si="11"/>
        <v>3318.904</v>
      </c>
      <c r="R372">
        <f t="shared" si="10"/>
        <v>2.8851283786234538</v>
      </c>
    </row>
    <row r="373" spans="6:18" x14ac:dyDescent="0.2">
      <c r="F373">
        <v>3270.7660000000001</v>
      </c>
      <c r="K373">
        <f t="shared" si="11"/>
        <v>3270.7660000000001</v>
      </c>
      <c r="R373">
        <f t="shared" si="10"/>
        <v>2.8432819407963348</v>
      </c>
    </row>
    <row r="374" spans="6:18" x14ac:dyDescent="0.2">
      <c r="F374">
        <v>3219.9989999999998</v>
      </c>
      <c r="K374">
        <f t="shared" si="11"/>
        <v>3219.9989999999998</v>
      </c>
      <c r="R374">
        <f t="shared" si="10"/>
        <v>2.7991501092044668</v>
      </c>
    </row>
    <row r="375" spans="6:18" x14ac:dyDescent="0.2">
      <c r="F375">
        <v>3181.8649999999998</v>
      </c>
      <c r="K375">
        <f t="shared" si="11"/>
        <v>3181.8649999999998</v>
      </c>
      <c r="R375">
        <f t="shared" si="10"/>
        <v>2.7660001640447311</v>
      </c>
    </row>
    <row r="376" spans="6:18" x14ac:dyDescent="0.2">
      <c r="F376">
        <v>3143.116</v>
      </c>
      <c r="K376">
        <f t="shared" si="11"/>
        <v>3143.116</v>
      </c>
      <c r="R376">
        <f t="shared" si="10"/>
        <v>2.7323155984341323</v>
      </c>
    </row>
    <row r="377" spans="6:18" x14ac:dyDescent="0.2">
      <c r="F377">
        <v>3177.8719999999998</v>
      </c>
      <c r="K377">
        <f t="shared" si="11"/>
        <v>3177.8719999999998</v>
      </c>
      <c r="R377">
        <f t="shared" si="10"/>
        <v>2.7625290429710745</v>
      </c>
    </row>
    <row r="378" spans="6:18" x14ac:dyDescent="0.2">
      <c r="F378">
        <v>3187.14</v>
      </c>
      <c r="K378">
        <f t="shared" si="11"/>
        <v>3187.14</v>
      </c>
      <c r="R378">
        <f t="shared" si="10"/>
        <v>2.7705857297005139</v>
      </c>
    </row>
    <row r="379" spans="6:18" x14ac:dyDescent="0.2">
      <c r="F379">
        <v>3165.7289999999998</v>
      </c>
      <c r="K379">
        <f t="shared" si="11"/>
        <v>3165.7289999999998</v>
      </c>
      <c r="R379">
        <f t="shared" si="10"/>
        <v>2.7519731142965407</v>
      </c>
    </row>
    <row r="380" spans="6:18" x14ac:dyDescent="0.2">
      <c r="F380">
        <v>3115.33</v>
      </c>
      <c r="K380">
        <f t="shared" si="11"/>
        <v>3115.33</v>
      </c>
      <c r="R380">
        <f t="shared" si="10"/>
        <v>2.7081611856736454</v>
      </c>
    </row>
    <row r="381" spans="6:18" x14ac:dyDescent="0.2">
      <c r="F381">
        <v>3084.8989999999999</v>
      </c>
      <c r="K381">
        <f t="shared" si="11"/>
        <v>3084.8989999999999</v>
      </c>
      <c r="R381">
        <f t="shared" si="10"/>
        <v>2.681707470323671</v>
      </c>
    </row>
    <row r="382" spans="6:18" x14ac:dyDescent="0.2">
      <c r="F382">
        <v>3016.6909999999998</v>
      </c>
      <c r="K382">
        <f t="shared" si="11"/>
        <v>3016.6909999999998</v>
      </c>
      <c r="R382">
        <f t="shared" si="10"/>
        <v>2.6224141504659264</v>
      </c>
    </row>
    <row r="383" spans="6:18" x14ac:dyDescent="0.2">
      <c r="F383">
        <v>2931.7289999999998</v>
      </c>
      <c r="K383">
        <f t="shared" si="11"/>
        <v>2931.7289999999998</v>
      </c>
      <c r="R383">
        <f t="shared" si="10"/>
        <v>2.5485565525044889</v>
      </c>
    </row>
    <row r="384" spans="6:18" x14ac:dyDescent="0.2">
      <c r="F384">
        <v>2895.4009999999998</v>
      </c>
      <c r="K384">
        <f t="shared" si="11"/>
        <v>2895.4009999999998</v>
      </c>
      <c r="R384">
        <f t="shared" si="10"/>
        <v>2.5169765659370462</v>
      </c>
    </row>
    <row r="385" spans="6:18" x14ac:dyDescent="0.2">
      <c r="F385">
        <v>2909.1979999999999</v>
      </c>
      <c r="K385">
        <f t="shared" si="11"/>
        <v>2909.1979999999999</v>
      </c>
      <c r="R385">
        <f t="shared" si="10"/>
        <v>2.5289703193688622</v>
      </c>
    </row>
    <row r="386" spans="6:18" x14ac:dyDescent="0.2">
      <c r="F386">
        <v>2911.57</v>
      </c>
      <c r="K386">
        <f t="shared" si="11"/>
        <v>2911.57</v>
      </c>
      <c r="R386">
        <f t="shared" ref="R386:R449" si="12">F386/$H$2</f>
        <v>2.5310323026362584</v>
      </c>
    </row>
    <row r="387" spans="6:18" x14ac:dyDescent="0.2">
      <c r="F387">
        <v>2923.43</v>
      </c>
      <c r="K387">
        <f t="shared" ref="K387:K450" si="13">IF(F387&gt;($H$4+$H$4*(0.3+ABS($I$12))), F387, "BASELINE")</f>
        <v>2923.43</v>
      </c>
      <c r="R387">
        <f t="shared" si="12"/>
        <v>2.5413422189732402</v>
      </c>
    </row>
    <row r="388" spans="6:18" x14ac:dyDescent="0.2">
      <c r="F388">
        <v>3055.7139999999999</v>
      </c>
      <c r="K388">
        <f t="shared" si="13"/>
        <v>3055.7139999999999</v>
      </c>
      <c r="R388">
        <f t="shared" si="12"/>
        <v>2.6563369047001624</v>
      </c>
    </row>
    <row r="389" spans="6:18" x14ac:dyDescent="0.2">
      <c r="F389">
        <v>3304.6170000000002</v>
      </c>
      <c r="K389">
        <f t="shared" si="13"/>
        <v>3304.6170000000002</v>
      </c>
      <c r="R389">
        <f t="shared" si="12"/>
        <v>2.872708667434039</v>
      </c>
    </row>
    <row r="390" spans="6:18" x14ac:dyDescent="0.2">
      <c r="F390">
        <v>3429.393</v>
      </c>
      <c r="K390">
        <f t="shared" si="13"/>
        <v>3429.393</v>
      </c>
      <c r="R390">
        <f t="shared" si="12"/>
        <v>2.9811766371526929</v>
      </c>
    </row>
    <row r="391" spans="6:18" x14ac:dyDescent="0.2">
      <c r="F391">
        <v>3458.8879999999999</v>
      </c>
      <c r="K391">
        <f t="shared" si="13"/>
        <v>3458.8879999999999</v>
      </c>
      <c r="R391">
        <f t="shared" si="12"/>
        <v>3.0068166862554988</v>
      </c>
    </row>
    <row r="392" spans="6:18" x14ac:dyDescent="0.2">
      <c r="F392">
        <v>3397.0830000000001</v>
      </c>
      <c r="K392">
        <f t="shared" si="13"/>
        <v>3397.0830000000001</v>
      </c>
      <c r="R392">
        <f t="shared" si="12"/>
        <v>2.95308950419756</v>
      </c>
    </row>
    <row r="393" spans="6:18" x14ac:dyDescent="0.2">
      <c r="F393">
        <v>3344.857</v>
      </c>
      <c r="K393">
        <f t="shared" si="13"/>
        <v>3344.857</v>
      </c>
      <c r="R393">
        <f t="shared" si="12"/>
        <v>2.9076893616499029</v>
      </c>
    </row>
    <row r="394" spans="6:18" x14ac:dyDescent="0.2">
      <c r="F394">
        <v>3294.9740000000002</v>
      </c>
      <c r="K394">
        <f t="shared" si="13"/>
        <v>3294.9740000000002</v>
      </c>
      <c r="R394">
        <f t="shared" si="12"/>
        <v>2.864325992624805</v>
      </c>
    </row>
    <row r="395" spans="6:18" x14ac:dyDescent="0.2">
      <c r="F395">
        <v>3173.8510000000001</v>
      </c>
      <c r="K395">
        <f t="shared" si="13"/>
        <v>3173.8510000000001</v>
      </c>
      <c r="R395">
        <f t="shared" si="12"/>
        <v>2.7590335814541267</v>
      </c>
    </row>
    <row r="396" spans="6:18" x14ac:dyDescent="0.2">
      <c r="F396">
        <v>3021.5210000000002</v>
      </c>
      <c r="K396">
        <f t="shared" si="13"/>
        <v>3021.5210000000002</v>
      </c>
      <c r="R396">
        <f t="shared" si="12"/>
        <v>2.6266128769336854</v>
      </c>
    </row>
    <row r="397" spans="6:18" x14ac:dyDescent="0.2">
      <c r="F397">
        <v>3082.9540000000002</v>
      </c>
      <c r="K397">
        <f t="shared" si="13"/>
        <v>3082.9540000000002</v>
      </c>
      <c r="R397">
        <f t="shared" si="12"/>
        <v>2.6800166788164681</v>
      </c>
    </row>
    <row r="398" spans="6:18" x14ac:dyDescent="0.2">
      <c r="F398">
        <v>3467.7289999999998</v>
      </c>
      <c r="K398">
        <f t="shared" si="13"/>
        <v>3467.7289999999998</v>
      </c>
      <c r="R398">
        <f t="shared" si="12"/>
        <v>3.0145021812247448</v>
      </c>
    </row>
    <row r="399" spans="6:18" x14ac:dyDescent="0.2">
      <c r="F399">
        <v>3593.9229999999998</v>
      </c>
      <c r="K399">
        <f t="shared" si="13"/>
        <v>3593.9229999999998</v>
      </c>
      <c r="R399">
        <f t="shared" si="12"/>
        <v>3.1242028205357966</v>
      </c>
    </row>
    <row r="400" spans="6:18" x14ac:dyDescent="0.2">
      <c r="F400">
        <v>3591.5360000000001</v>
      </c>
      <c r="K400">
        <f t="shared" si="13"/>
        <v>3591.5360000000001</v>
      </c>
      <c r="R400">
        <f t="shared" si="12"/>
        <v>3.1221277977452089</v>
      </c>
    </row>
    <row r="401" spans="6:18" x14ac:dyDescent="0.2">
      <c r="F401">
        <v>3596.4180000000001</v>
      </c>
      <c r="K401">
        <f t="shared" si="13"/>
        <v>3596.4180000000001</v>
      </c>
      <c r="R401">
        <f t="shared" si="12"/>
        <v>3.1263717278933663</v>
      </c>
    </row>
    <row r="402" spans="6:18" x14ac:dyDescent="0.2">
      <c r="F402">
        <v>3586.1370000000002</v>
      </c>
      <c r="K402">
        <f t="shared" si="13"/>
        <v>3586.1370000000002</v>
      </c>
      <c r="R402">
        <f t="shared" si="12"/>
        <v>3.1174344386977078</v>
      </c>
    </row>
    <row r="403" spans="6:18" x14ac:dyDescent="0.2">
      <c r="F403">
        <v>3524.9079999999999</v>
      </c>
      <c r="K403">
        <f t="shared" si="13"/>
        <v>3524.9079999999999</v>
      </c>
      <c r="R403">
        <f t="shared" si="12"/>
        <v>3.0642079743303334</v>
      </c>
    </row>
    <row r="404" spans="6:18" x14ac:dyDescent="0.2">
      <c r="F404">
        <v>3560.0079999999998</v>
      </c>
      <c r="K404">
        <f t="shared" si="13"/>
        <v>3560.0079999999998</v>
      </c>
      <c r="R404">
        <f t="shared" si="12"/>
        <v>3.094720458599141</v>
      </c>
    </row>
    <row r="405" spans="6:18" x14ac:dyDescent="0.2">
      <c r="F405">
        <v>3697.6350000000002</v>
      </c>
      <c r="K405">
        <f t="shared" si="13"/>
        <v>3697.6350000000002</v>
      </c>
      <c r="R405">
        <f t="shared" si="12"/>
        <v>3.214359822486982</v>
      </c>
    </row>
    <row r="406" spans="6:18" x14ac:dyDescent="0.2">
      <c r="F406">
        <v>3867.9920000000002</v>
      </c>
      <c r="K406">
        <f t="shared" si="13"/>
        <v>3867.9920000000002</v>
      </c>
      <c r="R406">
        <f t="shared" si="12"/>
        <v>3.3624514259793266</v>
      </c>
    </row>
    <row r="407" spans="6:18" x14ac:dyDescent="0.2">
      <c r="F407">
        <v>3934.2739999999999</v>
      </c>
      <c r="K407">
        <f t="shared" si="13"/>
        <v>3934.2739999999999</v>
      </c>
      <c r="R407">
        <f t="shared" si="12"/>
        <v>3.420070471059244</v>
      </c>
    </row>
    <row r="408" spans="6:18" x14ac:dyDescent="0.2">
      <c r="F408">
        <v>3925.913</v>
      </c>
      <c r="K408">
        <f t="shared" si="13"/>
        <v>3925.913</v>
      </c>
      <c r="R408">
        <f t="shared" si="12"/>
        <v>3.4128022408321357</v>
      </c>
    </row>
    <row r="409" spans="6:18" x14ac:dyDescent="0.2">
      <c r="F409">
        <v>3897.3960000000002</v>
      </c>
      <c r="K409">
        <f t="shared" si="13"/>
        <v>3897.3960000000002</v>
      </c>
      <c r="R409">
        <f t="shared" si="12"/>
        <v>3.3880123686414354</v>
      </c>
    </row>
    <row r="410" spans="6:18" x14ac:dyDescent="0.2">
      <c r="F410">
        <v>3892.7869999999998</v>
      </c>
      <c r="K410">
        <f t="shared" si="13"/>
        <v>3892.7869999999998</v>
      </c>
      <c r="R410">
        <f t="shared" si="12"/>
        <v>3.3840057578153684</v>
      </c>
    </row>
    <row r="411" spans="6:18" x14ac:dyDescent="0.2">
      <c r="F411">
        <v>3842.93</v>
      </c>
      <c r="K411">
        <f t="shared" si="13"/>
        <v>3842.93</v>
      </c>
      <c r="R411">
        <f t="shared" si="12"/>
        <v>3.3406649906304695</v>
      </c>
    </row>
    <row r="412" spans="6:18" x14ac:dyDescent="0.2">
      <c r="F412">
        <v>3818.19</v>
      </c>
      <c r="K412">
        <f t="shared" si="13"/>
        <v>3818.19</v>
      </c>
      <c r="R412">
        <f t="shared" si="12"/>
        <v>3.3191584703794641</v>
      </c>
    </row>
    <row r="413" spans="6:18" x14ac:dyDescent="0.2">
      <c r="F413">
        <v>3789.4059999999999</v>
      </c>
      <c r="K413">
        <f t="shared" si="13"/>
        <v>3789.4059999999999</v>
      </c>
      <c r="R413">
        <f t="shared" si="12"/>
        <v>3.2941364946759495</v>
      </c>
    </row>
    <row r="414" spans="6:18" x14ac:dyDescent="0.2">
      <c r="F414">
        <v>3690.8380000000002</v>
      </c>
      <c r="K414">
        <f t="shared" si="13"/>
        <v>3690.8380000000002</v>
      </c>
      <c r="R414">
        <f t="shared" si="12"/>
        <v>3.2084511798780051</v>
      </c>
    </row>
    <row r="415" spans="6:18" x14ac:dyDescent="0.2">
      <c r="F415">
        <v>3591.6019999999999</v>
      </c>
      <c r="K415">
        <f t="shared" si="13"/>
        <v>3591.6019999999999</v>
      </c>
      <c r="R415">
        <f t="shared" si="12"/>
        <v>3.1221851716472524</v>
      </c>
    </row>
    <row r="416" spans="6:18" x14ac:dyDescent="0.2">
      <c r="F416">
        <v>3569.1309999999999</v>
      </c>
      <c r="K416">
        <f t="shared" si="13"/>
        <v>3569.1309999999999</v>
      </c>
      <c r="R416">
        <f t="shared" si="12"/>
        <v>3.1026510966043928</v>
      </c>
    </row>
    <row r="417" spans="6:18" x14ac:dyDescent="0.2">
      <c r="F417">
        <v>3551.3470000000002</v>
      </c>
      <c r="K417">
        <f t="shared" si="13"/>
        <v>3551.3470000000002</v>
      </c>
      <c r="R417">
        <f t="shared" si="12"/>
        <v>3.0871914379081971</v>
      </c>
    </row>
    <row r="418" spans="6:18" x14ac:dyDescent="0.2">
      <c r="F418">
        <v>3477.7020000000002</v>
      </c>
      <c r="K418">
        <f t="shared" si="13"/>
        <v>3477.7020000000002</v>
      </c>
      <c r="R418">
        <f t="shared" si="12"/>
        <v>3.0231717255441986</v>
      </c>
    </row>
    <row r="419" spans="6:18" x14ac:dyDescent="0.2">
      <c r="F419">
        <v>3367.3220000000001</v>
      </c>
      <c r="K419">
        <f t="shared" si="13"/>
        <v>3367.3220000000001</v>
      </c>
      <c r="R419">
        <f t="shared" si="12"/>
        <v>2.927218220883486</v>
      </c>
    </row>
    <row r="420" spans="6:18" x14ac:dyDescent="0.2">
      <c r="F420">
        <v>3257.0529999999999</v>
      </c>
      <c r="K420">
        <f t="shared" si="13"/>
        <v>3257.0529999999999</v>
      </c>
      <c r="R420">
        <f t="shared" si="12"/>
        <v>2.8313612086943927</v>
      </c>
    </row>
    <row r="421" spans="6:18" x14ac:dyDescent="0.2">
      <c r="F421">
        <v>3177.569</v>
      </c>
      <c r="K421">
        <f t="shared" si="13"/>
        <v>3177.569</v>
      </c>
      <c r="R421">
        <f t="shared" si="12"/>
        <v>2.7622656446026004</v>
      </c>
    </row>
    <row r="422" spans="6:18" x14ac:dyDescent="0.2">
      <c r="F422">
        <v>3205.2089999999998</v>
      </c>
      <c r="K422">
        <f t="shared" si="13"/>
        <v>3205.2089999999998</v>
      </c>
      <c r="R422">
        <f t="shared" si="12"/>
        <v>2.7862931393373538</v>
      </c>
    </row>
    <row r="423" spans="6:18" x14ac:dyDescent="0.2">
      <c r="F423">
        <v>3347.03</v>
      </c>
      <c r="K423">
        <f t="shared" si="13"/>
        <v>3347.03</v>
      </c>
      <c r="R423">
        <f t="shared" si="12"/>
        <v>2.9095783539096214</v>
      </c>
    </row>
    <row r="424" spans="6:18" x14ac:dyDescent="0.2">
      <c r="F424">
        <v>3476.3249999999998</v>
      </c>
      <c r="K424">
        <f t="shared" si="13"/>
        <v>3476.3249999999998</v>
      </c>
      <c r="R424">
        <f t="shared" si="12"/>
        <v>3.0219746973151911</v>
      </c>
    </row>
    <row r="425" spans="6:18" x14ac:dyDescent="0.2">
      <c r="F425">
        <v>3564.951</v>
      </c>
      <c r="K425">
        <f t="shared" si="13"/>
        <v>3564.951</v>
      </c>
      <c r="R425">
        <f t="shared" si="12"/>
        <v>3.0990174161416117</v>
      </c>
    </row>
    <row r="426" spans="6:18" x14ac:dyDescent="0.2">
      <c r="F426">
        <v>3566.3180000000002</v>
      </c>
      <c r="K426">
        <f t="shared" si="13"/>
        <v>3566.3180000000002</v>
      </c>
      <c r="R426">
        <f t="shared" si="12"/>
        <v>3.100205751355158</v>
      </c>
    </row>
    <row r="427" spans="6:18" x14ac:dyDescent="0.2">
      <c r="F427">
        <v>3551.6909999999998</v>
      </c>
      <c r="K427">
        <f t="shared" si="13"/>
        <v>3551.6909999999998</v>
      </c>
      <c r="R427">
        <f t="shared" si="12"/>
        <v>3.087490477640062</v>
      </c>
    </row>
    <row r="428" spans="6:18" x14ac:dyDescent="0.2">
      <c r="F428">
        <v>3542.7759999999998</v>
      </c>
      <c r="K428">
        <f t="shared" si="13"/>
        <v>3542.7759999999998</v>
      </c>
      <c r="R428">
        <f t="shared" si="12"/>
        <v>3.0797406543564034</v>
      </c>
    </row>
    <row r="429" spans="6:18" x14ac:dyDescent="0.2">
      <c r="F429">
        <v>3475.55</v>
      </c>
      <c r="K429">
        <f t="shared" si="13"/>
        <v>3475.55</v>
      </c>
      <c r="R429">
        <f t="shared" si="12"/>
        <v>3.0213009886169484</v>
      </c>
    </row>
    <row r="430" spans="6:18" x14ac:dyDescent="0.2">
      <c r="F430">
        <v>3423.1120000000001</v>
      </c>
      <c r="K430">
        <f t="shared" si="13"/>
        <v>3423.1120000000001</v>
      </c>
      <c r="R430">
        <f t="shared" si="12"/>
        <v>2.9757165541415143</v>
      </c>
    </row>
    <row r="431" spans="6:18" x14ac:dyDescent="0.2">
      <c r="F431">
        <v>3385.9769999999999</v>
      </c>
      <c r="K431">
        <f t="shared" si="13"/>
        <v>3385.9769999999999</v>
      </c>
      <c r="R431">
        <f t="shared" si="12"/>
        <v>2.9434350412263521</v>
      </c>
    </row>
    <row r="432" spans="6:18" x14ac:dyDescent="0.2">
      <c r="F432">
        <v>3393.1860000000001</v>
      </c>
      <c r="K432">
        <f t="shared" si="13"/>
        <v>3393.1860000000001</v>
      </c>
      <c r="R432">
        <f t="shared" si="12"/>
        <v>2.9497018360723306</v>
      </c>
    </row>
    <row r="433" spans="6:18" x14ac:dyDescent="0.2">
      <c r="F433">
        <v>3415.576</v>
      </c>
      <c r="K433">
        <f t="shared" si="13"/>
        <v>3415.576</v>
      </c>
      <c r="R433">
        <f t="shared" si="12"/>
        <v>2.9691654976899549</v>
      </c>
    </row>
    <row r="434" spans="6:18" x14ac:dyDescent="0.2">
      <c r="F434">
        <v>3392.47</v>
      </c>
      <c r="K434">
        <f t="shared" si="13"/>
        <v>3392.47</v>
      </c>
      <c r="R434">
        <f t="shared" si="12"/>
        <v>2.9490794161653087</v>
      </c>
    </row>
    <row r="435" spans="6:18" x14ac:dyDescent="0.2">
      <c r="F435">
        <v>3349.7579999999998</v>
      </c>
      <c r="K435">
        <f t="shared" si="13"/>
        <v>3349.7579999999998</v>
      </c>
      <c r="R435">
        <f t="shared" si="12"/>
        <v>2.9119498085274365</v>
      </c>
    </row>
    <row r="436" spans="6:18" x14ac:dyDescent="0.2">
      <c r="F436">
        <v>3291.2089999999998</v>
      </c>
      <c r="K436">
        <f t="shared" si="13"/>
        <v>3291.2089999999998</v>
      </c>
      <c r="R436">
        <f t="shared" si="12"/>
        <v>2.8610530723036636</v>
      </c>
    </row>
    <row r="437" spans="6:18" x14ac:dyDescent="0.2">
      <c r="F437">
        <v>3292.84</v>
      </c>
      <c r="K437">
        <f t="shared" si="13"/>
        <v>3292.84</v>
      </c>
      <c r="R437">
        <f t="shared" si="12"/>
        <v>2.8624709031253852</v>
      </c>
    </row>
    <row r="438" spans="6:18" x14ac:dyDescent="0.2">
      <c r="F438">
        <v>3325.5659999999998</v>
      </c>
      <c r="K438">
        <f t="shared" si="13"/>
        <v>3325.5659999999998</v>
      </c>
      <c r="R438">
        <f t="shared" si="12"/>
        <v>2.8909196655237039</v>
      </c>
    </row>
    <row r="439" spans="6:18" x14ac:dyDescent="0.2">
      <c r="F439">
        <v>3325.6529999999998</v>
      </c>
      <c r="K439">
        <f t="shared" si="13"/>
        <v>3325.6529999999998</v>
      </c>
      <c r="R439">
        <f t="shared" si="12"/>
        <v>2.8909952947582167</v>
      </c>
    </row>
    <row r="440" spans="6:18" x14ac:dyDescent="0.2">
      <c r="F440">
        <v>3307.8710000000001</v>
      </c>
      <c r="K440">
        <f t="shared" si="13"/>
        <v>3307.8710000000001</v>
      </c>
      <c r="R440">
        <f t="shared" si="12"/>
        <v>2.8755373746651132</v>
      </c>
    </row>
    <row r="441" spans="6:18" x14ac:dyDescent="0.2">
      <c r="F441">
        <v>3298.837</v>
      </c>
      <c r="K441">
        <f t="shared" si="13"/>
        <v>3298.837</v>
      </c>
      <c r="R441">
        <f t="shared" si="12"/>
        <v>2.8676841044974659</v>
      </c>
    </row>
    <row r="442" spans="6:18" x14ac:dyDescent="0.2">
      <c r="F442">
        <v>3233.3359999999998</v>
      </c>
      <c r="K442">
        <f t="shared" si="13"/>
        <v>3233.3359999999998</v>
      </c>
      <c r="R442">
        <f t="shared" si="12"/>
        <v>2.8107439839250676</v>
      </c>
    </row>
    <row r="443" spans="6:18" x14ac:dyDescent="0.2">
      <c r="F443">
        <v>3167.8009999999999</v>
      </c>
      <c r="K443">
        <f t="shared" si="13"/>
        <v>3167.8009999999999</v>
      </c>
      <c r="R443">
        <f t="shared" si="12"/>
        <v>2.7537743071001013</v>
      </c>
    </row>
    <row r="444" spans="6:18" x14ac:dyDescent="0.2">
      <c r="F444">
        <v>3125.1709999999998</v>
      </c>
      <c r="K444">
        <f t="shared" si="13"/>
        <v>3125.1709999999998</v>
      </c>
      <c r="R444">
        <f t="shared" si="12"/>
        <v>2.7167159821890108</v>
      </c>
    </row>
    <row r="445" spans="6:18" x14ac:dyDescent="0.2">
      <c r="F445">
        <v>3076.2660000000001</v>
      </c>
      <c r="K445">
        <f t="shared" si="13"/>
        <v>3076.2660000000001</v>
      </c>
      <c r="R445">
        <f t="shared" si="12"/>
        <v>2.6742027900760181</v>
      </c>
    </row>
    <row r="446" spans="6:18" x14ac:dyDescent="0.2">
      <c r="F446">
        <v>2968.45</v>
      </c>
      <c r="K446">
        <f t="shared" si="13"/>
        <v>2968.45</v>
      </c>
      <c r="R446">
        <f t="shared" si="12"/>
        <v>2.5804781745795573</v>
      </c>
    </row>
    <row r="447" spans="6:18" x14ac:dyDescent="0.2">
      <c r="F447">
        <v>2843.0360000000001</v>
      </c>
      <c r="K447">
        <f t="shared" si="13"/>
        <v>2843.0360000000001</v>
      </c>
      <c r="R447">
        <f t="shared" si="12"/>
        <v>2.4714555904744788</v>
      </c>
    </row>
    <row r="448" spans="6:18" x14ac:dyDescent="0.2">
      <c r="F448">
        <v>2718.1729999999998</v>
      </c>
      <c r="K448">
        <f t="shared" si="13"/>
        <v>2718.1729999999998</v>
      </c>
      <c r="R448">
        <f t="shared" si="12"/>
        <v>2.3629119915213117</v>
      </c>
    </row>
    <row r="449" spans="6:18" x14ac:dyDescent="0.2">
      <c r="F449">
        <v>2575.4340000000002</v>
      </c>
      <c r="K449">
        <f t="shared" si="13"/>
        <v>2575.4340000000002</v>
      </c>
      <c r="R449">
        <f t="shared" si="12"/>
        <v>2.2388287581297068</v>
      </c>
    </row>
    <row r="450" spans="6:18" x14ac:dyDescent="0.2">
      <c r="F450">
        <v>2458.1439999999998</v>
      </c>
      <c r="K450">
        <f t="shared" si="13"/>
        <v>2458.1439999999998</v>
      </c>
      <c r="R450">
        <f t="shared" ref="R450:R513" si="14">F450/$H$2</f>
        <v>2.1368683797853056</v>
      </c>
    </row>
    <row r="451" spans="6:18" x14ac:dyDescent="0.2">
      <c r="F451">
        <v>2373.1640000000002</v>
      </c>
      <c r="K451">
        <f t="shared" ref="K451:K514" si="15">IF(F451&gt;($H$4+$H$4*(0.3+ABS($I$12))), F451, "BASELINE")</f>
        <v>2373.1640000000002</v>
      </c>
      <c r="R451">
        <f t="shared" si="14"/>
        <v>2.0629951343960387</v>
      </c>
    </row>
    <row r="452" spans="6:18" x14ac:dyDescent="0.2">
      <c r="F452">
        <v>2318.4520000000002</v>
      </c>
      <c r="K452">
        <f t="shared" si="15"/>
        <v>2318.4520000000002</v>
      </c>
      <c r="R452">
        <f t="shared" si="14"/>
        <v>2.0154339082047277</v>
      </c>
    </row>
    <row r="453" spans="6:18" x14ac:dyDescent="0.2">
      <c r="F453">
        <v>2267.1570000000002</v>
      </c>
      <c r="K453">
        <f t="shared" si="15"/>
        <v>2267.1570000000002</v>
      </c>
      <c r="R453">
        <f t="shared" si="14"/>
        <v>1.9708430853965084</v>
      </c>
    </row>
    <row r="454" spans="6:18" x14ac:dyDescent="0.2">
      <c r="F454">
        <v>2213.549</v>
      </c>
      <c r="K454">
        <f t="shared" si="15"/>
        <v>2213.549</v>
      </c>
      <c r="R454">
        <f t="shared" si="14"/>
        <v>1.9242415681121139</v>
      </c>
    </row>
    <row r="455" spans="6:18" x14ac:dyDescent="0.2">
      <c r="F455">
        <v>2146.1640000000002</v>
      </c>
      <c r="K455">
        <f t="shared" si="15"/>
        <v>2146.1640000000002</v>
      </c>
      <c r="R455">
        <f t="shared" si="14"/>
        <v>1.8656636834268259</v>
      </c>
    </row>
    <row r="456" spans="6:18" x14ac:dyDescent="0.2">
      <c r="F456">
        <v>2035.0309999999999</v>
      </c>
      <c r="K456">
        <f t="shared" si="15"/>
        <v>2035.0309999999999</v>
      </c>
      <c r="R456">
        <f t="shared" si="14"/>
        <v>1.7690555947018851</v>
      </c>
    </row>
    <row r="457" spans="6:18" x14ac:dyDescent="0.2">
      <c r="F457">
        <v>1914.327</v>
      </c>
      <c r="K457">
        <f t="shared" si="15"/>
        <v>1914.327</v>
      </c>
      <c r="R457">
        <f t="shared" si="14"/>
        <v>1.6641274208790311</v>
      </c>
    </row>
    <row r="458" spans="6:18" x14ac:dyDescent="0.2">
      <c r="F458">
        <v>2001.403</v>
      </c>
      <c r="K458">
        <f t="shared" si="15"/>
        <v>2001.403</v>
      </c>
      <c r="R458">
        <f t="shared" si="14"/>
        <v>1.739822722308966</v>
      </c>
    </row>
    <row r="459" spans="6:18" x14ac:dyDescent="0.2">
      <c r="F459">
        <v>2411.2339999999999</v>
      </c>
      <c r="K459">
        <f t="shared" si="15"/>
        <v>2411.2339999999999</v>
      </c>
      <c r="R459">
        <f t="shared" si="14"/>
        <v>2.0960894442568221</v>
      </c>
    </row>
    <row r="460" spans="6:18" x14ac:dyDescent="0.2">
      <c r="F460">
        <v>2920.8829999999998</v>
      </c>
      <c r="K460">
        <f t="shared" si="15"/>
        <v>2920.8829999999998</v>
      </c>
      <c r="R460">
        <f t="shared" si="14"/>
        <v>2.539128107935273</v>
      </c>
    </row>
    <row r="461" spans="6:18" x14ac:dyDescent="0.2">
      <c r="F461">
        <v>3319.8150000000001</v>
      </c>
      <c r="K461">
        <f t="shared" si="15"/>
        <v>3319.8150000000001</v>
      </c>
      <c r="R461">
        <f t="shared" si="14"/>
        <v>2.8859203123319688</v>
      </c>
    </row>
    <row r="462" spans="6:18" x14ac:dyDescent="0.2">
      <c r="F462">
        <v>3577.4229999999998</v>
      </c>
      <c r="K462">
        <f t="shared" si="15"/>
        <v>3577.4229999999998</v>
      </c>
      <c r="R462">
        <f t="shared" si="14"/>
        <v>3.1098593450248186</v>
      </c>
    </row>
    <row r="463" spans="6:18" x14ac:dyDescent="0.2">
      <c r="F463">
        <v>3716.489</v>
      </c>
      <c r="K463">
        <f t="shared" si="15"/>
        <v>3716.489</v>
      </c>
      <c r="R463">
        <f t="shared" si="14"/>
        <v>3.2307496338375259</v>
      </c>
    </row>
    <row r="464" spans="6:18" x14ac:dyDescent="0.2">
      <c r="F464">
        <v>3794.8760000000002</v>
      </c>
      <c r="K464">
        <f t="shared" si="15"/>
        <v>3794.8760000000002</v>
      </c>
      <c r="R464">
        <f t="shared" si="14"/>
        <v>3.2988915741332252</v>
      </c>
    </row>
    <row r="465" spans="6:18" x14ac:dyDescent="0.2">
      <c r="F465">
        <v>3799.3380000000002</v>
      </c>
      <c r="K465">
        <f t="shared" si="15"/>
        <v>3799.3380000000002</v>
      </c>
      <c r="R465">
        <f t="shared" si="14"/>
        <v>3.302770397632012</v>
      </c>
    </row>
    <row r="466" spans="6:18" x14ac:dyDescent="0.2">
      <c r="F466">
        <v>3777.0929999999998</v>
      </c>
      <c r="K466">
        <f t="shared" si="15"/>
        <v>3777.0929999999998</v>
      </c>
      <c r="R466">
        <f t="shared" si="14"/>
        <v>3.2834327847385754</v>
      </c>
    </row>
    <row r="467" spans="6:18" x14ac:dyDescent="0.2">
      <c r="F467">
        <v>3744.873</v>
      </c>
      <c r="K467">
        <f t="shared" si="15"/>
        <v>3744.873</v>
      </c>
      <c r="R467">
        <f t="shared" si="14"/>
        <v>3.2554238889225928</v>
      </c>
    </row>
    <row r="468" spans="6:18" x14ac:dyDescent="0.2">
      <c r="F468">
        <v>3709.7910000000002</v>
      </c>
      <c r="K468">
        <f t="shared" si="15"/>
        <v>3709.7910000000002</v>
      </c>
      <c r="R468">
        <f t="shared" si="14"/>
        <v>3.2249270520816151</v>
      </c>
    </row>
    <row r="469" spans="6:18" x14ac:dyDescent="0.2">
      <c r="F469">
        <v>3665.0749999999998</v>
      </c>
      <c r="K469">
        <f t="shared" si="15"/>
        <v>3665.0749999999998</v>
      </c>
      <c r="R469">
        <f t="shared" si="14"/>
        <v>3.1860553641453184</v>
      </c>
    </row>
    <row r="470" spans="6:18" x14ac:dyDescent="0.2">
      <c r="F470">
        <v>3594.654</v>
      </c>
      <c r="K470">
        <f t="shared" si="15"/>
        <v>3594.654</v>
      </c>
      <c r="R470">
        <f t="shared" si="14"/>
        <v>3.1248382799660104</v>
      </c>
    </row>
    <row r="471" spans="6:18" x14ac:dyDescent="0.2">
      <c r="F471">
        <v>3511.4349999999999</v>
      </c>
      <c r="K471">
        <f t="shared" si="15"/>
        <v>3511.4349999999999</v>
      </c>
      <c r="R471">
        <f t="shared" si="14"/>
        <v>3.0524958745994604</v>
      </c>
    </row>
    <row r="472" spans="6:18" x14ac:dyDescent="0.2">
      <c r="F472">
        <v>3452.5439999999999</v>
      </c>
      <c r="K472">
        <f t="shared" si="15"/>
        <v>3452.5439999999999</v>
      </c>
      <c r="R472">
        <f t="shared" si="14"/>
        <v>3.0013018372469142</v>
      </c>
    </row>
    <row r="473" spans="6:18" x14ac:dyDescent="0.2">
      <c r="F473">
        <v>3466.47</v>
      </c>
      <c r="K473">
        <f t="shared" si="15"/>
        <v>3466.47</v>
      </c>
      <c r="R473">
        <f t="shared" si="14"/>
        <v>3.0134077305781797</v>
      </c>
    </row>
    <row r="474" spans="6:18" x14ac:dyDescent="0.2">
      <c r="F474">
        <v>3492.6190000000001</v>
      </c>
      <c r="K474">
        <f t="shared" si="15"/>
        <v>3492.6190000000001</v>
      </c>
      <c r="R474">
        <f t="shared" si="14"/>
        <v>3.0361390967076689</v>
      </c>
    </row>
    <row r="475" spans="6:18" x14ac:dyDescent="0.2">
      <c r="F475">
        <v>3499.0349999999999</v>
      </c>
      <c r="K475">
        <f t="shared" si="15"/>
        <v>3499.0349999999999</v>
      </c>
      <c r="R475">
        <f t="shared" si="14"/>
        <v>3.0417165354275735</v>
      </c>
    </row>
    <row r="476" spans="6:18" x14ac:dyDescent="0.2">
      <c r="F476">
        <v>3526.299</v>
      </c>
      <c r="K476">
        <f t="shared" si="15"/>
        <v>3526.299</v>
      </c>
      <c r="R476">
        <f t="shared" si="14"/>
        <v>3.065417172780986</v>
      </c>
    </row>
    <row r="477" spans="6:18" x14ac:dyDescent="0.2">
      <c r="F477">
        <v>3544.123</v>
      </c>
      <c r="K477">
        <f t="shared" si="15"/>
        <v>3544.123</v>
      </c>
      <c r="R477">
        <f t="shared" si="14"/>
        <v>3.0809116035390267</v>
      </c>
    </row>
    <row r="478" spans="6:18" x14ac:dyDescent="0.2">
      <c r="F478">
        <v>3489.07</v>
      </c>
      <c r="K478">
        <f t="shared" si="15"/>
        <v>3489.07</v>
      </c>
      <c r="R478">
        <f t="shared" si="14"/>
        <v>3.0330539455204892</v>
      </c>
    </row>
    <row r="479" spans="6:18" x14ac:dyDescent="0.2">
      <c r="F479">
        <v>3448.0650000000001</v>
      </c>
      <c r="K479">
        <f t="shared" si="15"/>
        <v>3448.0650000000001</v>
      </c>
      <c r="R479">
        <f t="shared" si="14"/>
        <v>2.9974082356218434</v>
      </c>
    </row>
    <row r="480" spans="6:18" x14ac:dyDescent="0.2">
      <c r="F480">
        <v>3393.1289999999999</v>
      </c>
      <c r="K480">
        <f t="shared" si="15"/>
        <v>3393.1289999999999</v>
      </c>
      <c r="R480">
        <f t="shared" si="14"/>
        <v>2.9496522858842016</v>
      </c>
    </row>
    <row r="481" spans="6:18" x14ac:dyDescent="0.2">
      <c r="F481">
        <v>3334.4180000000001</v>
      </c>
      <c r="K481">
        <f t="shared" si="15"/>
        <v>3334.4180000000001</v>
      </c>
      <c r="R481">
        <f t="shared" si="14"/>
        <v>2.8986147228099575</v>
      </c>
    </row>
    <row r="482" spans="6:18" x14ac:dyDescent="0.2">
      <c r="F482">
        <v>3310.8359999999998</v>
      </c>
      <c r="K482">
        <f t="shared" si="15"/>
        <v>3310.8359999999998</v>
      </c>
      <c r="R482">
        <f t="shared" si="14"/>
        <v>2.8781148537493584</v>
      </c>
    </row>
    <row r="483" spans="6:18" x14ac:dyDescent="0.2">
      <c r="F483">
        <v>3305.6309999999999</v>
      </c>
      <c r="K483">
        <f t="shared" si="15"/>
        <v>3305.6309999999999</v>
      </c>
      <c r="R483">
        <f t="shared" si="14"/>
        <v>2.8735901392018044</v>
      </c>
    </row>
    <row r="484" spans="6:18" x14ac:dyDescent="0.2">
      <c r="F484">
        <v>3349.4270000000001</v>
      </c>
      <c r="K484">
        <f t="shared" si="15"/>
        <v>3349.4270000000001</v>
      </c>
      <c r="R484">
        <f t="shared" si="14"/>
        <v>2.9116620697156708</v>
      </c>
    </row>
    <row r="485" spans="6:18" x14ac:dyDescent="0.2">
      <c r="F485">
        <v>3419.04</v>
      </c>
      <c r="K485">
        <f t="shared" si="15"/>
        <v>3419.04</v>
      </c>
      <c r="R485">
        <f t="shared" si="14"/>
        <v>2.9721767582457139</v>
      </c>
    </row>
    <row r="486" spans="6:18" x14ac:dyDescent="0.2">
      <c r="F486">
        <v>3417.5259999999998</v>
      </c>
      <c r="K486">
        <f t="shared" si="15"/>
        <v>3417.5259999999998</v>
      </c>
      <c r="R486">
        <f t="shared" si="14"/>
        <v>2.9708606357048883</v>
      </c>
    </row>
    <row r="487" spans="6:18" x14ac:dyDescent="0.2">
      <c r="F487">
        <v>3375.1959999999999</v>
      </c>
      <c r="K487">
        <f t="shared" si="15"/>
        <v>3375.1959999999999</v>
      </c>
      <c r="R487">
        <f t="shared" si="14"/>
        <v>2.9340631012576339</v>
      </c>
    </row>
    <row r="488" spans="6:18" x14ac:dyDescent="0.2">
      <c r="F488">
        <v>3359.2620000000002</v>
      </c>
      <c r="K488">
        <f t="shared" si="15"/>
        <v>3359.2620000000002</v>
      </c>
      <c r="R488">
        <f t="shared" si="14"/>
        <v>2.9202116504217601</v>
      </c>
    </row>
    <row r="489" spans="6:18" x14ac:dyDescent="0.2">
      <c r="F489">
        <v>3325.1680000000001</v>
      </c>
      <c r="K489">
        <f t="shared" si="15"/>
        <v>3325.1680000000001</v>
      </c>
      <c r="R489">
        <f t="shared" si="14"/>
        <v>2.8905736835083489</v>
      </c>
    </row>
    <row r="490" spans="6:18" x14ac:dyDescent="0.2">
      <c r="F490">
        <v>3293.7669999999998</v>
      </c>
      <c r="K490">
        <f t="shared" si="15"/>
        <v>3293.7669999999998</v>
      </c>
      <c r="R490">
        <f t="shared" si="14"/>
        <v>2.8632767456586379</v>
      </c>
    </row>
    <row r="491" spans="6:18" x14ac:dyDescent="0.2">
      <c r="F491">
        <v>3293.875</v>
      </c>
      <c r="K491">
        <f t="shared" si="15"/>
        <v>3293.875</v>
      </c>
      <c r="R491">
        <f t="shared" si="14"/>
        <v>2.863370630225619</v>
      </c>
    </row>
    <row r="492" spans="6:18" x14ac:dyDescent="0.2">
      <c r="F492">
        <v>3332.1089999999999</v>
      </c>
      <c r="K492">
        <f t="shared" si="15"/>
        <v>3332.1089999999999</v>
      </c>
      <c r="R492">
        <f t="shared" si="14"/>
        <v>2.8966075055399667</v>
      </c>
    </row>
    <row r="493" spans="6:18" x14ac:dyDescent="0.2">
      <c r="F493">
        <v>3376.0590000000002</v>
      </c>
      <c r="K493">
        <f t="shared" si="15"/>
        <v>3376.0590000000002</v>
      </c>
      <c r="R493">
        <f t="shared" si="14"/>
        <v>2.9348133084919357</v>
      </c>
    </row>
    <row r="494" spans="6:18" x14ac:dyDescent="0.2">
      <c r="F494">
        <v>3375.2</v>
      </c>
      <c r="K494">
        <f t="shared" si="15"/>
        <v>3375.2</v>
      </c>
      <c r="R494">
        <f t="shared" si="14"/>
        <v>2.9340665784638182</v>
      </c>
    </row>
    <row r="495" spans="6:18" x14ac:dyDescent="0.2">
      <c r="F495">
        <v>3340.567</v>
      </c>
      <c r="K495">
        <f t="shared" si="15"/>
        <v>3340.567</v>
      </c>
      <c r="R495">
        <f t="shared" si="14"/>
        <v>2.9039600580170486</v>
      </c>
    </row>
    <row r="496" spans="6:18" x14ac:dyDescent="0.2">
      <c r="F496">
        <v>3288.5610000000001</v>
      </c>
      <c r="K496">
        <f t="shared" si="15"/>
        <v>3288.5610000000001</v>
      </c>
      <c r="R496">
        <f t="shared" si="14"/>
        <v>2.8587511618095385</v>
      </c>
    </row>
    <row r="497" spans="6:18" x14ac:dyDescent="0.2">
      <c r="F497">
        <v>3214.6840000000002</v>
      </c>
      <c r="K497">
        <f t="shared" si="15"/>
        <v>3214.6840000000002</v>
      </c>
      <c r="R497">
        <f t="shared" si="14"/>
        <v>2.79452977148684</v>
      </c>
    </row>
    <row r="498" spans="6:18" x14ac:dyDescent="0.2">
      <c r="F498">
        <v>3111.4520000000002</v>
      </c>
      <c r="K498">
        <f t="shared" si="15"/>
        <v>3111.4520000000002</v>
      </c>
      <c r="R498">
        <f t="shared" si="14"/>
        <v>2.7047900342777926</v>
      </c>
    </row>
    <row r="499" spans="6:18" x14ac:dyDescent="0.2">
      <c r="F499">
        <v>3042.8159999999998</v>
      </c>
      <c r="K499">
        <f t="shared" si="15"/>
        <v>3042.8159999999998</v>
      </c>
      <c r="R499">
        <f t="shared" si="14"/>
        <v>2.6451246533583079</v>
      </c>
    </row>
    <row r="500" spans="6:18" x14ac:dyDescent="0.2">
      <c r="F500">
        <v>2977.4340000000002</v>
      </c>
      <c r="K500">
        <f t="shared" si="15"/>
        <v>2977.4340000000002</v>
      </c>
      <c r="R500">
        <f t="shared" si="14"/>
        <v>2.5882879796698983</v>
      </c>
    </row>
    <row r="501" spans="6:18" x14ac:dyDescent="0.2">
      <c r="F501">
        <v>2929.9989999999998</v>
      </c>
      <c r="K501">
        <f t="shared" si="15"/>
        <v>2929.9989999999998</v>
      </c>
      <c r="R501">
        <f t="shared" si="14"/>
        <v>2.5470526608297015</v>
      </c>
    </row>
    <row r="502" spans="6:18" x14ac:dyDescent="0.2">
      <c r="F502">
        <v>2875.9879999999998</v>
      </c>
      <c r="K502">
        <f t="shared" si="15"/>
        <v>2875.9879999999998</v>
      </c>
      <c r="R502">
        <f t="shared" si="14"/>
        <v>2.5001008150222206</v>
      </c>
    </row>
    <row r="503" spans="6:18" x14ac:dyDescent="0.2">
      <c r="F503">
        <v>2785.0459999999998</v>
      </c>
      <c r="K503">
        <f t="shared" si="15"/>
        <v>2785.0459999999998</v>
      </c>
      <c r="R503">
        <f t="shared" si="14"/>
        <v>2.4210447938149868</v>
      </c>
    </row>
    <row r="504" spans="6:18" x14ac:dyDescent="0.2">
      <c r="F504">
        <v>2719.1419999999998</v>
      </c>
      <c r="K504">
        <f t="shared" si="15"/>
        <v>2719.1419999999998</v>
      </c>
      <c r="R504">
        <f t="shared" si="14"/>
        <v>2.363754344719502</v>
      </c>
    </row>
    <row r="505" spans="6:18" x14ac:dyDescent="0.2">
      <c r="F505">
        <v>2708.308</v>
      </c>
      <c r="K505">
        <f t="shared" si="15"/>
        <v>2708.308</v>
      </c>
      <c r="R505">
        <f t="shared" si="14"/>
        <v>2.3543363317688395</v>
      </c>
    </row>
    <row r="506" spans="6:18" x14ac:dyDescent="0.2">
      <c r="F506">
        <v>2666.6950000000002</v>
      </c>
      <c r="K506">
        <f t="shared" si="15"/>
        <v>2666.6950000000002</v>
      </c>
      <c r="R506">
        <f t="shared" si="14"/>
        <v>2.3181620865301529</v>
      </c>
    </row>
    <row r="507" spans="6:18" x14ac:dyDescent="0.2">
      <c r="F507">
        <v>2575.0129999999999</v>
      </c>
      <c r="K507">
        <f t="shared" si="15"/>
        <v>2575.0129999999999</v>
      </c>
      <c r="R507">
        <f t="shared" si="14"/>
        <v>2.2384627821787899</v>
      </c>
    </row>
    <row r="508" spans="6:18" x14ac:dyDescent="0.2">
      <c r="F508">
        <v>2480.018</v>
      </c>
      <c r="K508">
        <f t="shared" si="15"/>
        <v>2480.018</v>
      </c>
      <c r="R508">
        <f t="shared" si="14"/>
        <v>2.155883481805132</v>
      </c>
    </row>
    <row r="509" spans="6:18" x14ac:dyDescent="0.2">
      <c r="F509">
        <v>2393.5070000000001</v>
      </c>
      <c r="K509">
        <f t="shared" si="15"/>
        <v>2393.5070000000001</v>
      </c>
      <c r="R509">
        <f t="shared" si="14"/>
        <v>2.0806793357487554</v>
      </c>
    </row>
    <row r="510" spans="6:18" x14ac:dyDescent="0.2">
      <c r="F510">
        <v>2302.7570000000001</v>
      </c>
      <c r="K510">
        <f t="shared" si="15"/>
        <v>2302.7570000000001</v>
      </c>
      <c r="R510">
        <f t="shared" si="14"/>
        <v>2.0017902204383762</v>
      </c>
    </row>
    <row r="511" spans="6:18" x14ac:dyDescent="0.2">
      <c r="F511">
        <v>2236.7280000000001</v>
      </c>
      <c r="K511">
        <f t="shared" si="15"/>
        <v>2236.7280000000001</v>
      </c>
      <c r="R511">
        <f t="shared" si="14"/>
        <v>1.9443911086496266</v>
      </c>
    </row>
    <row r="512" spans="6:18" x14ac:dyDescent="0.2">
      <c r="F512">
        <v>2131.462</v>
      </c>
      <c r="K512">
        <f t="shared" si="15"/>
        <v>2131.462</v>
      </c>
      <c r="R512">
        <f t="shared" si="14"/>
        <v>1.8528832120957712</v>
      </c>
    </row>
    <row r="513" spans="6:18" x14ac:dyDescent="0.2">
      <c r="F513">
        <v>2012.6769999999999</v>
      </c>
      <c r="K513">
        <f t="shared" si="15"/>
        <v>2012.6769999999999</v>
      </c>
      <c r="R513">
        <f t="shared" si="14"/>
        <v>1.7496232279399213</v>
      </c>
    </row>
    <row r="514" spans="6:18" x14ac:dyDescent="0.2">
      <c r="F514">
        <v>1918.56</v>
      </c>
      <c r="K514">
        <f t="shared" si="15"/>
        <v>1918.56</v>
      </c>
      <c r="R514">
        <f t="shared" ref="R514:R577" si="16">F514/$H$2</f>
        <v>1.6678071743237566</v>
      </c>
    </row>
    <row r="515" spans="6:18" x14ac:dyDescent="0.2">
      <c r="F515">
        <v>1845.7260000000001</v>
      </c>
      <c r="K515">
        <f t="shared" ref="K515:K578" si="17">IF(F515&gt;($H$4+$H$4*(0.3+ABS($I$12))), F515, "BASELINE")</f>
        <v>1845.7260000000001</v>
      </c>
      <c r="R515">
        <f t="shared" si="16"/>
        <v>1.6044924655136614</v>
      </c>
    </row>
    <row r="516" spans="6:18" x14ac:dyDescent="0.2">
      <c r="F516">
        <v>1820.7460000000001</v>
      </c>
      <c r="K516">
        <f t="shared" si="17"/>
        <v>1820.7460000000001</v>
      </c>
      <c r="R516">
        <f t="shared" si="16"/>
        <v>1.5827773128915867</v>
      </c>
    </row>
    <row r="517" spans="6:18" x14ac:dyDescent="0.2">
      <c r="F517">
        <v>1809.7650000000001</v>
      </c>
      <c r="K517">
        <f t="shared" si="17"/>
        <v>1809.7650000000001</v>
      </c>
      <c r="R517">
        <f t="shared" si="16"/>
        <v>1.5732315126136445</v>
      </c>
    </row>
    <row r="518" spans="6:18" x14ac:dyDescent="0.2">
      <c r="F518">
        <v>1778.577</v>
      </c>
      <c r="K518">
        <f t="shared" si="17"/>
        <v>1778.577</v>
      </c>
      <c r="R518">
        <f t="shared" si="16"/>
        <v>1.5461197359932575</v>
      </c>
    </row>
    <row r="519" spans="6:18" x14ac:dyDescent="0.2">
      <c r="F519">
        <v>1747.6379999999999</v>
      </c>
      <c r="K519">
        <f t="shared" si="17"/>
        <v>1747.6379999999999</v>
      </c>
      <c r="R519">
        <f t="shared" si="16"/>
        <v>1.5192244154578545</v>
      </c>
    </row>
    <row r="520" spans="6:18" x14ac:dyDescent="0.2">
      <c r="F520">
        <v>1736.327</v>
      </c>
      <c r="K520">
        <f t="shared" si="17"/>
        <v>1736.327</v>
      </c>
      <c r="R520">
        <f t="shared" si="16"/>
        <v>1.5093917456696926</v>
      </c>
    </row>
    <row r="521" spans="6:18" x14ac:dyDescent="0.2">
      <c r="F521">
        <v>1710.2750000000001</v>
      </c>
      <c r="K521">
        <f t="shared" si="17"/>
        <v>1710.2750000000001</v>
      </c>
      <c r="R521">
        <f t="shared" si="16"/>
        <v>1.4867447017901776</v>
      </c>
    </row>
    <row r="522" spans="6:18" x14ac:dyDescent="0.2">
      <c r="F522">
        <v>1668.72</v>
      </c>
      <c r="K522">
        <f t="shared" si="17"/>
        <v>1668.72</v>
      </c>
      <c r="R522">
        <f t="shared" si="16"/>
        <v>1.4506208760411659</v>
      </c>
    </row>
    <row r="523" spans="6:18" x14ac:dyDescent="0.2">
      <c r="F523">
        <v>1623.0409999999999</v>
      </c>
      <c r="K523">
        <f t="shared" si="17"/>
        <v>1623.0409999999999</v>
      </c>
      <c r="R523">
        <f t="shared" si="16"/>
        <v>1.4109120507159558</v>
      </c>
    </row>
    <row r="524" spans="6:18" x14ac:dyDescent="0.2">
      <c r="F524">
        <v>1587.941</v>
      </c>
      <c r="K524">
        <f t="shared" si="17"/>
        <v>1587.941</v>
      </c>
      <c r="R524">
        <f t="shared" si="16"/>
        <v>1.3803995664471482</v>
      </c>
    </row>
    <row r="525" spans="6:18" x14ac:dyDescent="0.2">
      <c r="F525">
        <v>1548.329</v>
      </c>
      <c r="K525">
        <f t="shared" si="17"/>
        <v>1548.329</v>
      </c>
      <c r="R525">
        <f t="shared" si="16"/>
        <v>1.3459647936022474</v>
      </c>
    </row>
    <row r="526" spans="6:18" x14ac:dyDescent="0.2">
      <c r="F526">
        <v>1501.9110000000001</v>
      </c>
      <c r="K526">
        <f t="shared" si="17"/>
        <v>1501.9110000000001</v>
      </c>
      <c r="R526">
        <f t="shared" si="16"/>
        <v>1.3056135544344549</v>
      </c>
    </row>
    <row r="527" spans="6:18" x14ac:dyDescent="0.2">
      <c r="F527">
        <v>1460.173</v>
      </c>
      <c r="K527">
        <f t="shared" si="17"/>
        <v>1460.173</v>
      </c>
      <c r="R527">
        <f t="shared" si="16"/>
        <v>1.2693306465025034</v>
      </c>
    </row>
    <row r="528" spans="6:18" x14ac:dyDescent="0.2">
      <c r="F528">
        <v>1426.25</v>
      </c>
      <c r="K528">
        <f t="shared" si="17"/>
        <v>1426.25</v>
      </c>
      <c r="R528">
        <f t="shared" si="16"/>
        <v>1.2398413301534785</v>
      </c>
    </row>
    <row r="529" spans="6:18" x14ac:dyDescent="0.2">
      <c r="F529">
        <v>1392.847</v>
      </c>
      <c r="K529">
        <f t="shared" si="17"/>
        <v>1392.847</v>
      </c>
      <c r="R529">
        <f t="shared" si="16"/>
        <v>1.2108040506084363</v>
      </c>
    </row>
    <row r="530" spans="6:18" x14ac:dyDescent="0.2">
      <c r="F530">
        <v>1353.3710000000001</v>
      </c>
      <c r="K530" t="str">
        <f t="shared" si="17"/>
        <v>BASELINE</v>
      </c>
      <c r="R530">
        <f t="shared" si="16"/>
        <v>1.176487502773808</v>
      </c>
    </row>
    <row r="531" spans="6:18" x14ac:dyDescent="0.2">
      <c r="F531">
        <v>1313.193</v>
      </c>
      <c r="K531" t="str">
        <f t="shared" si="17"/>
        <v>BASELINE</v>
      </c>
      <c r="R531">
        <f t="shared" si="16"/>
        <v>1.1415607052538033</v>
      </c>
    </row>
    <row r="532" spans="6:18" x14ac:dyDescent="0.2">
      <c r="F532">
        <v>1279.58</v>
      </c>
      <c r="K532" t="str">
        <f t="shared" si="17"/>
        <v>BASELINE</v>
      </c>
      <c r="R532">
        <f t="shared" si="16"/>
        <v>1.1123408723840758</v>
      </c>
    </row>
    <row r="533" spans="6:18" x14ac:dyDescent="0.2">
      <c r="F533">
        <v>1215.664</v>
      </c>
      <c r="K533" t="str">
        <f t="shared" si="17"/>
        <v>BASELINE</v>
      </c>
      <c r="R533">
        <f t="shared" si="16"/>
        <v>1.0567785947622776</v>
      </c>
    </row>
    <row r="534" spans="6:18" x14ac:dyDescent="0.2">
      <c r="F534">
        <v>1147.18</v>
      </c>
      <c r="K534" t="str">
        <f t="shared" si="17"/>
        <v>BASELINE</v>
      </c>
      <c r="R534">
        <f t="shared" si="16"/>
        <v>0.99724534767780382</v>
      </c>
    </row>
    <row r="535" spans="6:18" x14ac:dyDescent="0.2">
      <c r="F535">
        <v>1112.0519999999999</v>
      </c>
      <c r="K535" t="str">
        <f t="shared" si="17"/>
        <v>BASELINE</v>
      </c>
      <c r="R535">
        <f t="shared" si="16"/>
        <v>0.96670852296570453</v>
      </c>
    </row>
    <row r="536" spans="6:18" x14ac:dyDescent="0.2">
      <c r="F536">
        <v>1069.2619999999999</v>
      </c>
      <c r="K536" t="str">
        <f t="shared" si="17"/>
        <v>BASELINE</v>
      </c>
      <c r="R536">
        <f t="shared" si="16"/>
        <v>0.92951110980723495</v>
      </c>
    </row>
    <row r="537" spans="6:18" x14ac:dyDescent="0.2">
      <c r="F537">
        <v>1021.578</v>
      </c>
      <c r="K537" t="str">
        <f t="shared" si="17"/>
        <v>BASELINE</v>
      </c>
      <c r="R537">
        <f t="shared" si="16"/>
        <v>0.88805933488205457</v>
      </c>
    </row>
    <row r="538" spans="6:18" x14ac:dyDescent="0.2">
      <c r="F538">
        <v>1002.97</v>
      </c>
      <c r="K538" t="str">
        <f t="shared" si="17"/>
        <v>BASELINE</v>
      </c>
      <c r="R538">
        <f t="shared" si="16"/>
        <v>0.87188337171185593</v>
      </c>
    </row>
    <row r="539" spans="6:18" x14ac:dyDescent="0.2">
      <c r="F539">
        <v>1025.741</v>
      </c>
      <c r="K539" t="str">
        <f t="shared" si="17"/>
        <v>BASELINE</v>
      </c>
      <c r="R539">
        <f t="shared" si="16"/>
        <v>0.89167823721855166</v>
      </c>
    </row>
    <row r="540" spans="6:18" x14ac:dyDescent="0.2">
      <c r="F540">
        <v>1107.5070000000001</v>
      </c>
      <c r="K540" t="str">
        <f t="shared" si="17"/>
        <v>BASELINE</v>
      </c>
      <c r="R540">
        <f t="shared" si="16"/>
        <v>0.96275754743858977</v>
      </c>
    </row>
    <row r="541" spans="6:18" x14ac:dyDescent="0.2">
      <c r="F541">
        <v>1248.2239999999999</v>
      </c>
      <c r="K541" t="str">
        <f t="shared" si="17"/>
        <v>BASELINE</v>
      </c>
      <c r="R541">
        <f t="shared" si="16"/>
        <v>1.0850830531039408</v>
      </c>
    </row>
    <row r="542" spans="6:18" x14ac:dyDescent="0.2">
      <c r="F542">
        <v>1410.6089999999999</v>
      </c>
      <c r="K542">
        <f t="shared" si="17"/>
        <v>1410.6089999999999</v>
      </c>
      <c r="R542">
        <f t="shared" si="16"/>
        <v>1.2262445846706176</v>
      </c>
    </row>
    <row r="543" spans="6:18" x14ac:dyDescent="0.2">
      <c r="F543">
        <v>1557.482</v>
      </c>
      <c r="K543">
        <f t="shared" si="17"/>
        <v>1557.482</v>
      </c>
      <c r="R543">
        <f t="shared" si="16"/>
        <v>1.3539215106538827</v>
      </c>
    </row>
    <row r="544" spans="6:18" x14ac:dyDescent="0.2">
      <c r="F544">
        <v>1659.904</v>
      </c>
      <c r="K544">
        <f t="shared" si="17"/>
        <v>1659.904</v>
      </c>
      <c r="R544">
        <f t="shared" si="16"/>
        <v>1.442957113610573</v>
      </c>
    </row>
    <row r="545" spans="6:18" x14ac:dyDescent="0.2">
      <c r="F545">
        <v>1704.5909999999999</v>
      </c>
      <c r="K545">
        <f t="shared" si="17"/>
        <v>1704.5909999999999</v>
      </c>
      <c r="R545">
        <f t="shared" si="16"/>
        <v>1.481803591802032</v>
      </c>
    </row>
    <row r="546" spans="6:18" x14ac:dyDescent="0.2">
      <c r="F546">
        <v>1749.903</v>
      </c>
      <c r="K546">
        <f t="shared" si="17"/>
        <v>1749.903</v>
      </c>
      <c r="R546">
        <f t="shared" si="16"/>
        <v>1.5211933834598161</v>
      </c>
    </row>
    <row r="547" spans="6:18" x14ac:dyDescent="0.2">
      <c r="F547">
        <v>1818.779</v>
      </c>
      <c r="K547">
        <f t="shared" si="17"/>
        <v>1818.779</v>
      </c>
      <c r="R547">
        <f t="shared" si="16"/>
        <v>1.581067396750369</v>
      </c>
    </row>
    <row r="548" spans="6:18" x14ac:dyDescent="0.2">
      <c r="F548">
        <v>1868.204</v>
      </c>
      <c r="K548">
        <f t="shared" si="17"/>
        <v>1868.204</v>
      </c>
      <c r="R548">
        <f t="shared" si="16"/>
        <v>1.6240326256673439</v>
      </c>
    </row>
    <row r="549" spans="6:18" x14ac:dyDescent="0.2">
      <c r="F549">
        <v>1918.4010000000001</v>
      </c>
      <c r="K549">
        <f t="shared" si="17"/>
        <v>1918.4010000000001</v>
      </c>
      <c r="R549">
        <f t="shared" si="16"/>
        <v>1.6676689553779236</v>
      </c>
    </row>
    <row r="550" spans="6:18" x14ac:dyDescent="0.2">
      <c r="F550">
        <v>1986.2760000000001</v>
      </c>
      <c r="K550">
        <f t="shared" si="17"/>
        <v>1986.2760000000001</v>
      </c>
      <c r="R550">
        <f t="shared" si="16"/>
        <v>1.7266727978208105</v>
      </c>
    </row>
    <row r="551" spans="6:18" x14ac:dyDescent="0.2">
      <c r="F551">
        <v>2056.2629999999999</v>
      </c>
      <c r="K551">
        <f t="shared" si="17"/>
        <v>2056.2629999999999</v>
      </c>
      <c r="R551">
        <f t="shared" si="16"/>
        <v>1.7875126051291024</v>
      </c>
    </row>
    <row r="552" spans="6:18" x14ac:dyDescent="0.2">
      <c r="F552">
        <v>2129.8130000000001</v>
      </c>
      <c r="K552">
        <f t="shared" si="17"/>
        <v>2129.8130000000001</v>
      </c>
      <c r="R552">
        <f t="shared" si="16"/>
        <v>1.8514497338462197</v>
      </c>
    </row>
    <row r="553" spans="6:18" x14ac:dyDescent="0.2">
      <c r="F553">
        <v>2214.8490000000002</v>
      </c>
      <c r="K553">
        <f t="shared" si="17"/>
        <v>2214.8490000000002</v>
      </c>
      <c r="R553">
        <f t="shared" si="16"/>
        <v>1.9253716601220698</v>
      </c>
    </row>
    <row r="554" spans="6:18" x14ac:dyDescent="0.2">
      <c r="F554">
        <v>2314.3359999999998</v>
      </c>
      <c r="K554">
        <f t="shared" si="17"/>
        <v>2314.3359999999998</v>
      </c>
      <c r="R554">
        <f t="shared" si="16"/>
        <v>2.011855863040898</v>
      </c>
    </row>
    <row r="555" spans="6:18" x14ac:dyDescent="0.2">
      <c r="F555">
        <v>2418.5</v>
      </c>
      <c r="K555">
        <f t="shared" si="17"/>
        <v>2418.5</v>
      </c>
      <c r="R555">
        <f t="shared" si="16"/>
        <v>2.1024057892909296</v>
      </c>
    </row>
    <row r="556" spans="6:18" x14ac:dyDescent="0.2">
      <c r="F556">
        <v>2486.7510000000002</v>
      </c>
      <c r="K556">
        <f t="shared" si="17"/>
        <v>2486.7510000000002</v>
      </c>
      <c r="R556">
        <f t="shared" si="16"/>
        <v>2.1617364891151576</v>
      </c>
    </row>
    <row r="557" spans="6:18" x14ac:dyDescent="0.2">
      <c r="F557">
        <v>2513.288</v>
      </c>
      <c r="K557">
        <f t="shared" si="17"/>
        <v>2513.288</v>
      </c>
      <c r="R557">
        <f t="shared" si="16"/>
        <v>2.1848051442445406</v>
      </c>
    </row>
    <row r="558" spans="6:18" x14ac:dyDescent="0.2">
      <c r="F558">
        <v>2574.027</v>
      </c>
      <c r="K558">
        <f t="shared" si="17"/>
        <v>2574.027</v>
      </c>
      <c r="R558">
        <f t="shared" si="16"/>
        <v>2.2376056508543161</v>
      </c>
    </row>
    <row r="559" spans="6:18" x14ac:dyDescent="0.2">
      <c r="F559">
        <v>2670.8429999999998</v>
      </c>
      <c r="K559">
        <f t="shared" si="17"/>
        <v>2670.8429999999998</v>
      </c>
      <c r="R559">
        <f t="shared" si="16"/>
        <v>2.321767949343458</v>
      </c>
    </row>
    <row r="560" spans="6:18" x14ac:dyDescent="0.2">
      <c r="F560">
        <v>2745.1149999999998</v>
      </c>
      <c r="K560">
        <f t="shared" si="17"/>
        <v>2745.1149999999998</v>
      </c>
      <c r="R560">
        <f t="shared" si="16"/>
        <v>2.3863327137768739</v>
      </c>
    </row>
    <row r="561" spans="6:18" x14ac:dyDescent="0.2">
      <c r="F561">
        <v>3028.5010000000002</v>
      </c>
      <c r="K561">
        <f t="shared" si="17"/>
        <v>3028.5010000000002</v>
      </c>
      <c r="R561">
        <f t="shared" si="16"/>
        <v>2.6326806017256024</v>
      </c>
    </row>
    <row r="562" spans="6:18" x14ac:dyDescent="0.2">
      <c r="F562">
        <v>3489.424</v>
      </c>
      <c r="K562">
        <f t="shared" si="17"/>
        <v>3489.424</v>
      </c>
      <c r="R562">
        <f t="shared" si="16"/>
        <v>3.0333616782678154</v>
      </c>
    </row>
    <row r="563" spans="6:18" x14ac:dyDescent="0.2">
      <c r="F563">
        <v>3753.0770000000002</v>
      </c>
      <c r="K563">
        <f t="shared" si="17"/>
        <v>3753.0770000000002</v>
      </c>
      <c r="R563">
        <f t="shared" si="16"/>
        <v>3.2625556388069605</v>
      </c>
    </row>
    <row r="564" spans="6:18" x14ac:dyDescent="0.2">
      <c r="F564">
        <v>3876.1469999999999</v>
      </c>
      <c r="K564">
        <f t="shared" si="17"/>
        <v>3876.1469999999999</v>
      </c>
      <c r="R564">
        <f t="shared" si="16"/>
        <v>3.3695405800879339</v>
      </c>
    </row>
    <row r="565" spans="6:18" x14ac:dyDescent="0.2">
      <c r="F565">
        <v>3918.6979999999999</v>
      </c>
      <c r="K565">
        <f t="shared" si="17"/>
        <v>3918.6979999999999</v>
      </c>
      <c r="R565">
        <f t="shared" si="16"/>
        <v>3.4065302301768807</v>
      </c>
    </row>
    <row r="566" spans="6:18" x14ac:dyDescent="0.2">
      <c r="F566">
        <v>3889.2620000000002</v>
      </c>
      <c r="K566">
        <f t="shared" si="17"/>
        <v>3889.2620000000002</v>
      </c>
      <c r="R566">
        <f t="shared" si="16"/>
        <v>3.3809414698652964</v>
      </c>
    </row>
    <row r="567" spans="6:18" x14ac:dyDescent="0.2">
      <c r="F567">
        <v>3865.4160000000002</v>
      </c>
      <c r="K567">
        <f t="shared" si="17"/>
        <v>3865.4160000000002</v>
      </c>
      <c r="R567">
        <f t="shared" si="16"/>
        <v>3.3602121051965215</v>
      </c>
    </row>
    <row r="568" spans="6:18" x14ac:dyDescent="0.2">
      <c r="F568">
        <v>3815.8069999999998</v>
      </c>
      <c r="K568">
        <f t="shared" si="17"/>
        <v>3815.8069999999998</v>
      </c>
      <c r="R568">
        <f t="shared" si="16"/>
        <v>3.3170869247950603</v>
      </c>
    </row>
    <row r="569" spans="6:18" x14ac:dyDescent="0.2">
      <c r="F569">
        <v>3745.297</v>
      </c>
      <c r="K569">
        <f t="shared" si="17"/>
        <v>3745.297</v>
      </c>
      <c r="R569">
        <f t="shared" si="16"/>
        <v>3.2557924727781478</v>
      </c>
    </row>
    <row r="570" spans="6:18" x14ac:dyDescent="0.2">
      <c r="F570">
        <v>3717.7049999999999</v>
      </c>
      <c r="K570">
        <f t="shared" si="17"/>
        <v>3717.7049999999999</v>
      </c>
      <c r="R570">
        <f t="shared" si="16"/>
        <v>3.231806704517608</v>
      </c>
    </row>
    <row r="571" spans="6:18" x14ac:dyDescent="0.2">
      <c r="F571">
        <v>3726.136</v>
      </c>
      <c r="K571">
        <f t="shared" si="17"/>
        <v>3726.136</v>
      </c>
      <c r="R571">
        <f t="shared" si="16"/>
        <v>3.2391357858529446</v>
      </c>
    </row>
    <row r="572" spans="6:18" x14ac:dyDescent="0.2">
      <c r="F572">
        <v>3735.9450000000002</v>
      </c>
      <c r="K572">
        <f t="shared" si="17"/>
        <v>3735.9450000000002</v>
      </c>
      <c r="R572">
        <f t="shared" si="16"/>
        <v>3.2476627647188345</v>
      </c>
    </row>
    <row r="573" spans="6:18" x14ac:dyDescent="0.2">
      <c r="F573">
        <v>3728.1120000000001</v>
      </c>
      <c r="K573">
        <f t="shared" si="17"/>
        <v>3728.1120000000001</v>
      </c>
      <c r="R573">
        <f t="shared" si="16"/>
        <v>3.2408535257080775</v>
      </c>
    </row>
    <row r="574" spans="6:18" x14ac:dyDescent="0.2">
      <c r="F574">
        <v>3717.2330000000002</v>
      </c>
      <c r="K574">
        <f t="shared" si="17"/>
        <v>3717.2330000000002</v>
      </c>
      <c r="R574">
        <f t="shared" si="16"/>
        <v>3.2313963941878394</v>
      </c>
    </row>
    <row r="575" spans="6:18" x14ac:dyDescent="0.2">
      <c r="F575">
        <v>3750.268</v>
      </c>
      <c r="K575">
        <f t="shared" si="17"/>
        <v>3750.268</v>
      </c>
      <c r="R575">
        <f t="shared" si="16"/>
        <v>3.2601137707639096</v>
      </c>
    </row>
    <row r="576" spans="6:18" x14ac:dyDescent="0.2">
      <c r="F576">
        <v>3773.3470000000002</v>
      </c>
      <c r="K576">
        <f t="shared" si="17"/>
        <v>3773.3470000000002</v>
      </c>
      <c r="R576">
        <f t="shared" si="16"/>
        <v>3.2801763811468105</v>
      </c>
    </row>
    <row r="577" spans="6:18" x14ac:dyDescent="0.2">
      <c r="F577">
        <v>3743.096</v>
      </c>
      <c r="K577">
        <f t="shared" si="17"/>
        <v>3743.096</v>
      </c>
      <c r="R577">
        <f t="shared" si="16"/>
        <v>3.2538791400751377</v>
      </c>
    </row>
    <row r="578" spans="6:18" x14ac:dyDescent="0.2">
      <c r="F578">
        <v>3679.759</v>
      </c>
      <c r="K578">
        <f t="shared" si="17"/>
        <v>3679.759</v>
      </c>
      <c r="R578">
        <f t="shared" ref="R578:R601" si="18">F578/$H$2</f>
        <v>3.198820188048543</v>
      </c>
    </row>
    <row r="579" spans="6:18" x14ac:dyDescent="0.2">
      <c r="F579">
        <v>3611.973</v>
      </c>
      <c r="K579">
        <f t="shared" ref="K579:K601" si="19">IF(F579&gt;($H$4+$H$4*(0.3+ABS($I$12))), F579, "BASELINE")</f>
        <v>3611.973</v>
      </c>
      <c r="R579">
        <f t="shared" si="18"/>
        <v>3.1398937134432607</v>
      </c>
    </row>
    <row r="580" spans="6:18" x14ac:dyDescent="0.2">
      <c r="F580">
        <v>3547.8530000000001</v>
      </c>
      <c r="K580">
        <f t="shared" si="19"/>
        <v>3547.8530000000001</v>
      </c>
      <c r="R580">
        <f t="shared" si="18"/>
        <v>3.0841540983060542</v>
      </c>
    </row>
    <row r="581" spans="6:18" x14ac:dyDescent="0.2">
      <c r="F581">
        <v>3481.886</v>
      </c>
      <c r="K581">
        <f t="shared" si="19"/>
        <v>3481.886</v>
      </c>
      <c r="R581">
        <f t="shared" si="18"/>
        <v>3.0268088832131639</v>
      </c>
    </row>
    <row r="582" spans="6:18" x14ac:dyDescent="0.2">
      <c r="F582">
        <v>3450.5970000000002</v>
      </c>
      <c r="K582">
        <f t="shared" si="19"/>
        <v>3450.5970000000002</v>
      </c>
      <c r="R582">
        <f t="shared" si="18"/>
        <v>2.9996093071366192</v>
      </c>
    </row>
    <row r="583" spans="6:18" x14ac:dyDescent="0.2">
      <c r="F583">
        <v>3412.902</v>
      </c>
      <c r="K583">
        <f t="shared" si="19"/>
        <v>3412.902</v>
      </c>
      <c r="R583">
        <f t="shared" si="18"/>
        <v>2.9668409853556303</v>
      </c>
    </row>
    <row r="584" spans="6:18" x14ac:dyDescent="0.2">
      <c r="F584">
        <v>3370.183</v>
      </c>
      <c r="K584">
        <f t="shared" si="19"/>
        <v>3370.183</v>
      </c>
      <c r="R584">
        <f t="shared" si="18"/>
        <v>2.9297052926069349</v>
      </c>
    </row>
    <row r="585" spans="6:18" x14ac:dyDescent="0.2">
      <c r="F585">
        <v>3363.82</v>
      </c>
      <c r="K585">
        <f t="shared" si="19"/>
        <v>3363.82</v>
      </c>
      <c r="R585">
        <f t="shared" si="18"/>
        <v>2.9241739268689741</v>
      </c>
    </row>
    <row r="586" spans="6:18" x14ac:dyDescent="0.2">
      <c r="F586">
        <v>3346.5619999999999</v>
      </c>
      <c r="K586">
        <f t="shared" si="19"/>
        <v>3346.5619999999999</v>
      </c>
      <c r="R586">
        <f t="shared" si="18"/>
        <v>2.9091715207860371</v>
      </c>
    </row>
    <row r="587" spans="6:18" x14ac:dyDescent="0.2">
      <c r="F587">
        <v>3281.5990000000002</v>
      </c>
      <c r="K587">
        <f t="shared" si="19"/>
        <v>3281.5990000000002</v>
      </c>
      <c r="R587">
        <f t="shared" si="18"/>
        <v>2.8526990844454518</v>
      </c>
    </row>
    <row r="588" spans="6:18" x14ac:dyDescent="0.2">
      <c r="F588">
        <v>3190.8890000000001</v>
      </c>
      <c r="K588">
        <f t="shared" si="19"/>
        <v>3190.8890000000001</v>
      </c>
      <c r="R588">
        <f t="shared" si="18"/>
        <v>2.7738447411969172</v>
      </c>
    </row>
    <row r="589" spans="6:18" x14ac:dyDescent="0.2">
      <c r="F589">
        <v>3121.049</v>
      </c>
      <c r="K589">
        <f t="shared" si="19"/>
        <v>3121.049</v>
      </c>
      <c r="R589">
        <f t="shared" si="18"/>
        <v>2.7131327212159047</v>
      </c>
    </row>
    <row r="590" spans="6:18" x14ac:dyDescent="0.2">
      <c r="F590">
        <v>3093.5819999999999</v>
      </c>
      <c r="K590">
        <f t="shared" si="19"/>
        <v>3093.5819999999999</v>
      </c>
      <c r="R590">
        <f t="shared" si="18"/>
        <v>2.68925561564863</v>
      </c>
    </row>
    <row r="591" spans="6:18" x14ac:dyDescent="0.2">
      <c r="F591">
        <v>3073.4430000000002</v>
      </c>
      <c r="K591">
        <f t="shared" si="19"/>
        <v>3073.4430000000002</v>
      </c>
      <c r="R591">
        <f t="shared" si="18"/>
        <v>2.6717487518113221</v>
      </c>
    </row>
    <row r="592" spans="6:18" x14ac:dyDescent="0.2">
      <c r="F592">
        <v>3053.4760000000001</v>
      </c>
      <c r="K592">
        <f t="shared" si="19"/>
        <v>3053.4760000000001</v>
      </c>
      <c r="R592">
        <f t="shared" si="18"/>
        <v>2.6543914078399462</v>
      </c>
    </row>
    <row r="593" spans="6:18" x14ac:dyDescent="0.2">
      <c r="F593">
        <v>3079.6010000000001</v>
      </c>
      <c r="K593">
        <f t="shared" si="19"/>
        <v>3079.6010000000001</v>
      </c>
      <c r="R593">
        <f t="shared" si="18"/>
        <v>2.6771019107323282</v>
      </c>
    </row>
    <row r="594" spans="6:18" x14ac:dyDescent="0.2">
      <c r="F594">
        <v>3116.35</v>
      </c>
      <c r="K594">
        <f t="shared" si="19"/>
        <v>3116.35</v>
      </c>
      <c r="R594">
        <f t="shared" si="18"/>
        <v>2.7090478732506873</v>
      </c>
    </row>
    <row r="595" spans="6:18" x14ac:dyDescent="0.2">
      <c r="F595">
        <v>3113.9059999999999</v>
      </c>
      <c r="K595">
        <f t="shared" si="19"/>
        <v>3113.9059999999999</v>
      </c>
      <c r="R595">
        <f t="shared" si="18"/>
        <v>2.7069233002719706</v>
      </c>
    </row>
    <row r="596" spans="6:18" x14ac:dyDescent="0.2">
      <c r="F596">
        <v>3082.1280000000002</v>
      </c>
      <c r="K596">
        <f t="shared" si="19"/>
        <v>3082.1280000000002</v>
      </c>
      <c r="R596">
        <f t="shared" si="18"/>
        <v>2.6792986357393733</v>
      </c>
    </row>
    <row r="597" spans="6:18" x14ac:dyDescent="0.2">
      <c r="F597">
        <v>3033.2890000000002</v>
      </c>
      <c r="K597">
        <f t="shared" si="19"/>
        <v>3033.2890000000002</v>
      </c>
      <c r="R597">
        <f t="shared" si="18"/>
        <v>2.6368428175284242</v>
      </c>
    </row>
    <row r="598" spans="6:18" x14ac:dyDescent="0.2">
      <c r="F598">
        <v>2982.3539999999998</v>
      </c>
      <c r="K598">
        <f t="shared" si="19"/>
        <v>2982.3539999999998</v>
      </c>
      <c r="R598">
        <f t="shared" si="18"/>
        <v>2.5925649432768081</v>
      </c>
    </row>
    <row r="599" spans="6:18" x14ac:dyDescent="0.2">
      <c r="F599">
        <v>2972.9389999999999</v>
      </c>
      <c r="K599">
        <f t="shared" si="19"/>
        <v>2972.9389999999999</v>
      </c>
      <c r="R599">
        <f t="shared" si="18"/>
        <v>2.5843804692200893</v>
      </c>
    </row>
    <row r="600" spans="6:18" x14ac:dyDescent="0.2">
      <c r="F600">
        <v>2971.3589999999999</v>
      </c>
      <c r="K600">
        <f t="shared" si="19"/>
        <v>2971.3589999999999</v>
      </c>
      <c r="R600">
        <f t="shared" si="18"/>
        <v>2.5830069727772198</v>
      </c>
    </row>
    <row r="601" spans="6:18" x14ac:dyDescent="0.2">
      <c r="F601">
        <v>2960.1970000000001</v>
      </c>
      <c r="K601">
        <f t="shared" si="19"/>
        <v>2960.1970000000001</v>
      </c>
      <c r="R601">
        <f t="shared" si="18"/>
        <v>2.5733038289194301</v>
      </c>
    </row>
  </sheetData>
  <mergeCells count="1">
    <mergeCell ref="H9:I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20171-49D3-8F4D-8470-A88F9BE067E5}">
  <sheetPr codeName="Sheet3"/>
  <dimension ref="A1:S601"/>
  <sheetViews>
    <sheetView tabSelected="1" topLeftCell="E1" zoomScale="90" workbookViewId="0">
      <selection activeCell="P2" sqref="P1:S2"/>
    </sheetView>
  </sheetViews>
  <sheetFormatPr baseColWidth="10" defaultRowHeight="16" x14ac:dyDescent="0.2"/>
  <cols>
    <col min="9" max="9" width="24.6640625" bestFit="1" customWidth="1"/>
    <col min="11" max="11" width="12.6640625" bestFit="1" customWidth="1"/>
    <col min="14" max="14" width="17" bestFit="1" customWidth="1"/>
    <col min="16" max="16" width="24.83203125" bestFit="1" customWidth="1"/>
    <col min="18" max="18" width="19.83203125" bestFit="1" customWidth="1"/>
  </cols>
  <sheetData>
    <row r="1" spans="1:19" ht="16" customHeight="1" x14ac:dyDescent="0.25">
      <c r="A1" s="19" t="str">
        <f>'Entire Trace Calc'!K1</f>
        <v>Peak Values (Values/Baseline &gt; SNR)</v>
      </c>
      <c r="D1" s="35" t="s">
        <v>33</v>
      </c>
      <c r="E1" s="35"/>
      <c r="F1" s="35"/>
      <c r="G1" s="35"/>
      <c r="H1" s="25" t="s">
        <v>37</v>
      </c>
      <c r="I1" s="21" t="s">
        <v>32</v>
      </c>
      <c r="J1" s="20" cm="1">
        <f t="array" ref="J1">TIMETOPEAK(A144:A529)</f>
        <v>152</v>
      </c>
      <c r="K1" s="22" t="s">
        <v>34</v>
      </c>
      <c r="L1" s="23" t="s">
        <v>35</v>
      </c>
      <c r="M1" s="23" t="s">
        <v>36</v>
      </c>
      <c r="N1" s="26" t="s">
        <v>39</v>
      </c>
      <c r="O1" s="26" cm="1">
        <f t="array" ref="O1">PEAKTOBASELINE(A144:A529)</f>
        <v>160</v>
      </c>
      <c r="P1" s="27" t="s">
        <v>42</v>
      </c>
      <c r="Q1" s="27">
        <f>J1-L2</f>
        <v>8</v>
      </c>
      <c r="R1" s="3" t="s">
        <v>43</v>
      </c>
      <c r="S1" s="3">
        <f>M2-O1</f>
        <v>369</v>
      </c>
    </row>
    <row r="2" spans="1:19" x14ac:dyDescent="0.2">
      <c r="A2">
        <f>'Entire Trace Calc'!K2</f>
        <v>3501.2959999999998</v>
      </c>
      <c r="D2" s="35"/>
      <c r="E2" s="35"/>
      <c r="F2" s="35"/>
      <c r="G2" s="35"/>
      <c r="I2" s="20"/>
      <c r="J2" s="20"/>
      <c r="K2" s="24"/>
      <c r="L2" s="24">
        <v>144</v>
      </c>
      <c r="M2" s="24">
        <v>529</v>
      </c>
      <c r="N2" s="26"/>
      <c r="O2" s="26"/>
      <c r="P2" s="27" t="s">
        <v>41</v>
      </c>
      <c r="Q2" s="27">
        <f>Q1*0.1</f>
        <v>0.8</v>
      </c>
      <c r="R2" s="3" t="s">
        <v>41</v>
      </c>
      <c r="S2" s="3">
        <f>S1*0.1</f>
        <v>36.9</v>
      </c>
    </row>
    <row r="3" spans="1:19" ht="16" customHeight="1" x14ac:dyDescent="0.2">
      <c r="A3">
        <f>'Entire Trace Calc'!K3</f>
        <v>2916.9450000000002</v>
      </c>
      <c r="D3" s="35"/>
      <c r="E3" s="35"/>
      <c r="F3" s="35"/>
      <c r="G3" s="35"/>
    </row>
    <row r="4" spans="1:19" ht="19" x14ac:dyDescent="0.25">
      <c r="A4">
        <f>'Entire Trace Calc'!K4</f>
        <v>2612.9160000000002</v>
      </c>
      <c r="D4" s="35"/>
      <c r="E4" s="35"/>
      <c r="F4" s="35"/>
      <c r="G4" s="35"/>
      <c r="H4" s="25" t="s">
        <v>44</v>
      </c>
      <c r="I4" s="21" t="s">
        <v>32</v>
      </c>
      <c r="J4" s="20" cm="1">
        <f t="array" ref="J4">TIMETOPEAK(A279:A560)</f>
        <v>279</v>
      </c>
      <c r="K4" s="22" t="s">
        <v>34</v>
      </c>
      <c r="L4" s="23" t="s">
        <v>35</v>
      </c>
      <c r="M4" s="23" t="s">
        <v>36</v>
      </c>
      <c r="N4" s="26" t="s">
        <v>39</v>
      </c>
      <c r="O4" s="26" cm="1">
        <f t="array" ref="O4">PEAKTOBASELINE(A279:A560)</f>
        <v>541</v>
      </c>
      <c r="P4" s="27" t="s">
        <v>42</v>
      </c>
      <c r="Q4" s="27">
        <f>J4-L5</f>
        <v>0</v>
      </c>
      <c r="R4" s="3" t="s">
        <v>43</v>
      </c>
      <c r="S4" s="3">
        <f>M5-O4</f>
        <v>19</v>
      </c>
    </row>
    <row r="5" spans="1:19" x14ac:dyDescent="0.2">
      <c r="A5">
        <f>'Entire Trace Calc'!K5</f>
        <v>2421.8670000000002</v>
      </c>
      <c r="D5" s="36" t="s">
        <v>38</v>
      </c>
      <c r="E5" s="36"/>
      <c r="F5" s="36"/>
      <c r="G5" s="36"/>
      <c r="I5" s="20"/>
      <c r="J5" s="20"/>
      <c r="K5" s="24"/>
      <c r="L5" s="24">
        <v>279</v>
      </c>
      <c r="M5" s="24">
        <v>560</v>
      </c>
      <c r="N5" s="26"/>
      <c r="O5" s="26"/>
      <c r="P5" s="27" t="s">
        <v>41</v>
      </c>
      <c r="Q5" s="27">
        <f>Q4*0.1</f>
        <v>0</v>
      </c>
      <c r="R5" s="3" t="s">
        <v>41</v>
      </c>
      <c r="S5" s="27">
        <f>S4*0.1</f>
        <v>1.9000000000000001</v>
      </c>
    </row>
    <row r="6" spans="1:19" x14ac:dyDescent="0.2">
      <c r="A6">
        <f>'Entire Trace Calc'!K6</f>
        <v>2232.8090000000002</v>
      </c>
      <c r="D6" s="36"/>
      <c r="E6" s="36"/>
      <c r="F6" s="36"/>
      <c r="G6" s="36"/>
    </row>
    <row r="7" spans="1:19" ht="19" x14ac:dyDescent="0.25">
      <c r="A7">
        <f>'Entire Trace Calc'!K7</f>
        <v>2091.12</v>
      </c>
      <c r="D7" s="32" t="s">
        <v>40</v>
      </c>
      <c r="E7" s="32"/>
      <c r="F7" s="32"/>
      <c r="G7" s="32"/>
      <c r="H7" s="25" t="s">
        <v>45</v>
      </c>
      <c r="I7" s="21" t="s">
        <v>32</v>
      </c>
      <c r="J7" s="20" cm="1">
        <f t="array" ref="J7">TIMETOPEAK(A351:A484)</f>
        <v>351</v>
      </c>
      <c r="K7" s="22" t="s">
        <v>34</v>
      </c>
      <c r="L7" s="23" t="s">
        <v>35</v>
      </c>
      <c r="M7" s="23" t="s">
        <v>36</v>
      </c>
      <c r="N7" s="26" t="s">
        <v>39</v>
      </c>
      <c r="O7" s="26" cm="1">
        <f t="array" ref="O7">PEAKTOBASELINE(A351:A484)</f>
        <v>477</v>
      </c>
      <c r="P7" s="27" t="s">
        <v>42</v>
      </c>
      <c r="Q7" s="27">
        <f>J7-L8</f>
        <v>0</v>
      </c>
      <c r="R7" s="3" t="s">
        <v>43</v>
      </c>
      <c r="S7" s="3">
        <f>M8-O7</f>
        <v>7</v>
      </c>
    </row>
    <row r="8" spans="1:19" x14ac:dyDescent="0.2">
      <c r="A8">
        <f>'Entire Trace Calc'!K8</f>
        <v>1952.8150000000001</v>
      </c>
      <c r="D8" s="32"/>
      <c r="E8" s="32"/>
      <c r="F8" s="32"/>
      <c r="G8" s="32"/>
      <c r="I8" s="20"/>
      <c r="J8" s="20"/>
      <c r="K8" s="24"/>
      <c r="L8" s="24">
        <v>351</v>
      </c>
      <c r="M8" s="24">
        <v>484</v>
      </c>
      <c r="N8" s="26"/>
      <c r="O8" s="26"/>
      <c r="P8" s="27" t="s">
        <v>41</v>
      </c>
      <c r="Q8" s="27">
        <f>Q7*0.1</f>
        <v>0</v>
      </c>
      <c r="R8" s="3" t="s">
        <v>41</v>
      </c>
      <c r="S8" s="27">
        <f>S7*0.1</f>
        <v>0.70000000000000007</v>
      </c>
    </row>
    <row r="9" spans="1:19" x14ac:dyDescent="0.2">
      <c r="A9">
        <f>'Entire Trace Calc'!K9</f>
        <v>1848.5</v>
      </c>
      <c r="D9" s="32"/>
      <c r="E9" s="32"/>
      <c r="F9" s="32"/>
      <c r="G9" s="32"/>
    </row>
    <row r="10" spans="1:19" ht="19" x14ac:dyDescent="0.25">
      <c r="A10">
        <f>'Entire Trace Calc'!K10</f>
        <v>1732.893</v>
      </c>
      <c r="H10" s="25" t="s">
        <v>46</v>
      </c>
      <c r="I10" s="21" t="s">
        <v>32</v>
      </c>
      <c r="J10" s="20" cm="1">
        <f t="array" ref="J10">TIMETOPEAK(A209:A241)</f>
        <v>211</v>
      </c>
      <c r="K10" s="22" t="s">
        <v>34</v>
      </c>
      <c r="L10" s="23" t="s">
        <v>35</v>
      </c>
      <c r="M10" s="23" t="s">
        <v>36</v>
      </c>
      <c r="N10" s="26" t="s">
        <v>39</v>
      </c>
      <c r="O10" s="26" cm="1">
        <f t="array" ref="O10">PEAKTOBASELINE(A209:A241)</f>
        <v>225</v>
      </c>
      <c r="P10" s="27" t="s">
        <v>42</v>
      </c>
      <c r="Q10" s="27">
        <f>J10-L11</f>
        <v>2</v>
      </c>
      <c r="R10" s="3" t="s">
        <v>43</v>
      </c>
      <c r="S10" s="3">
        <f>M11-O10</f>
        <v>16</v>
      </c>
    </row>
    <row r="11" spans="1:19" x14ac:dyDescent="0.2">
      <c r="A11">
        <f>'Entire Trace Calc'!K11</f>
        <v>1653.4159999999999</v>
      </c>
      <c r="I11" s="20"/>
      <c r="J11" s="20"/>
      <c r="K11" s="24"/>
      <c r="L11" s="24">
        <v>209</v>
      </c>
      <c r="M11" s="24">
        <v>241</v>
      </c>
      <c r="N11" s="26"/>
      <c r="O11" s="26"/>
      <c r="P11" s="27" t="s">
        <v>41</v>
      </c>
      <c r="Q11" s="27">
        <f>Q10*0.25</f>
        <v>0.5</v>
      </c>
      <c r="R11" s="3" t="s">
        <v>41</v>
      </c>
      <c r="S11" s="3">
        <f>S10*0.25</f>
        <v>4</v>
      </c>
    </row>
    <row r="12" spans="1:19" x14ac:dyDescent="0.2">
      <c r="A12">
        <f>'Entire Trace Calc'!K12</f>
        <v>1588.1659999999999</v>
      </c>
      <c r="D12" s="33" t="s">
        <v>51</v>
      </c>
      <c r="E12" s="33"/>
      <c r="F12" s="33"/>
      <c r="G12" s="33"/>
    </row>
    <row r="13" spans="1:19" ht="19" customHeight="1" x14ac:dyDescent="0.25">
      <c r="A13">
        <f>'Entire Trace Calc'!K13</f>
        <v>1552.77</v>
      </c>
      <c r="D13" s="34" t="s">
        <v>50</v>
      </c>
      <c r="E13" s="34"/>
      <c r="F13" s="34"/>
      <c r="G13" s="34"/>
      <c r="H13" s="25" t="s">
        <v>47</v>
      </c>
      <c r="I13" s="21" t="s">
        <v>32</v>
      </c>
      <c r="J13" s="20" cm="1">
        <f t="array" ref="J13">TIMETOPEAK(A19:A93)</f>
        <v>19</v>
      </c>
      <c r="K13" s="22" t="s">
        <v>34</v>
      </c>
      <c r="L13" s="23" t="s">
        <v>35</v>
      </c>
      <c r="M13" s="23" t="s">
        <v>36</v>
      </c>
      <c r="N13" s="26" t="s">
        <v>39</v>
      </c>
      <c r="O13" s="26" cm="1">
        <f t="array" ref="O13">PEAKTOBASELINE(A19:A93)</f>
        <v>93</v>
      </c>
      <c r="P13" s="27" t="s">
        <v>42</v>
      </c>
      <c r="Q13" s="27">
        <f>J13-L14</f>
        <v>12</v>
      </c>
      <c r="R13" s="3" t="s">
        <v>43</v>
      </c>
      <c r="S13" s="3">
        <f>M14-O13</f>
        <v>-12</v>
      </c>
    </row>
    <row r="14" spans="1:19" x14ac:dyDescent="0.2">
      <c r="A14">
        <f>'Entire Trace Calc'!K14</f>
        <v>1498.9680000000001</v>
      </c>
      <c r="D14" s="34"/>
      <c r="E14" s="34"/>
      <c r="F14" s="34"/>
      <c r="G14" s="34"/>
      <c r="I14" s="20"/>
      <c r="J14" s="20"/>
      <c r="K14" s="24"/>
      <c r="L14" s="24">
        <v>7</v>
      </c>
      <c r="M14" s="24">
        <v>81</v>
      </c>
      <c r="N14" s="26"/>
      <c r="O14" s="26"/>
      <c r="P14" s="27" t="s">
        <v>41</v>
      </c>
      <c r="Q14" s="27">
        <f>Q13*0.25</f>
        <v>3</v>
      </c>
      <c r="R14" s="3" t="s">
        <v>41</v>
      </c>
      <c r="S14" s="3">
        <f>S13*0.25</f>
        <v>-3</v>
      </c>
    </row>
    <row r="15" spans="1:19" x14ac:dyDescent="0.2">
      <c r="A15">
        <f>'Entire Trace Calc'!K15</f>
        <v>1469.701</v>
      </c>
      <c r="D15" s="34"/>
      <c r="E15" s="34"/>
      <c r="F15" s="34"/>
      <c r="G15" s="34"/>
    </row>
    <row r="16" spans="1:19" ht="19" x14ac:dyDescent="0.25">
      <c r="A16">
        <f>'Entire Trace Calc'!K16</f>
        <v>1404.7170000000001</v>
      </c>
      <c r="D16" s="28"/>
      <c r="E16" s="28"/>
      <c r="F16" s="28"/>
      <c r="G16" s="28"/>
      <c r="H16" s="25" t="s">
        <v>48</v>
      </c>
      <c r="I16" s="21" t="s">
        <v>32</v>
      </c>
      <c r="J16" s="20" cm="1">
        <f t="array" ref="J16">TIMETOPEAK(A22:A96)</f>
        <v>22</v>
      </c>
      <c r="K16" s="22" t="s">
        <v>34</v>
      </c>
      <c r="L16" s="23" t="s">
        <v>35</v>
      </c>
      <c r="M16" s="23" t="s">
        <v>36</v>
      </c>
      <c r="N16" s="26" t="s">
        <v>39</v>
      </c>
      <c r="O16" s="26" cm="1">
        <f t="array" ref="O16">PEAKTOBASELINE(A22:A96)</f>
        <v>96</v>
      </c>
      <c r="P16" s="27" t="s">
        <v>42</v>
      </c>
      <c r="Q16" s="27">
        <f>J16-L17</f>
        <v>15</v>
      </c>
      <c r="R16" s="3" t="s">
        <v>43</v>
      </c>
      <c r="S16" s="3">
        <f>M17-O16</f>
        <v>-15</v>
      </c>
    </row>
    <row r="17" spans="1:19" x14ac:dyDescent="0.2">
      <c r="A17">
        <f>'Entire Trace Calc'!K17</f>
        <v>1382.712</v>
      </c>
      <c r="D17" s="28"/>
      <c r="E17" s="28"/>
      <c r="F17" s="28"/>
      <c r="G17" s="28"/>
      <c r="I17" s="20"/>
      <c r="J17" s="20"/>
      <c r="K17" s="24"/>
      <c r="L17" s="24">
        <v>7</v>
      </c>
      <c r="M17" s="24">
        <v>81</v>
      </c>
      <c r="N17" s="26"/>
      <c r="O17" s="26"/>
      <c r="P17" s="27" t="s">
        <v>41</v>
      </c>
      <c r="Q17" s="27">
        <f>Q16*0.25</f>
        <v>3.75</v>
      </c>
      <c r="R17" s="3" t="s">
        <v>41</v>
      </c>
      <c r="S17" s="3">
        <f>S16*0.25</f>
        <v>-3.75</v>
      </c>
    </row>
    <row r="18" spans="1:19" x14ac:dyDescent="0.2">
      <c r="A18">
        <f>'Entire Trace Calc'!K18</f>
        <v>1410.65</v>
      </c>
      <c r="D18" s="28"/>
      <c r="E18" s="28"/>
      <c r="F18" s="28"/>
      <c r="G18" s="28"/>
    </row>
    <row r="19" spans="1:19" ht="19" x14ac:dyDescent="0.25">
      <c r="A19">
        <f>'Entire Trace Calc'!K19</f>
        <v>1381.346</v>
      </c>
      <c r="D19" s="28"/>
      <c r="E19" s="28"/>
      <c r="F19" s="28"/>
      <c r="G19" s="28"/>
      <c r="H19" s="25" t="s">
        <v>49</v>
      </c>
      <c r="I19" s="21" t="s">
        <v>32</v>
      </c>
      <c r="J19" s="20" cm="1">
        <f t="array" ref="J19">TIMETOPEAK(A25:A99)</f>
        <v>25</v>
      </c>
      <c r="K19" s="22" t="s">
        <v>34</v>
      </c>
      <c r="L19" s="23" t="s">
        <v>35</v>
      </c>
      <c r="M19" s="23" t="s">
        <v>36</v>
      </c>
      <c r="N19" s="26" t="s">
        <v>39</v>
      </c>
      <c r="O19" s="26" cm="1">
        <f t="array" ref="O19">PEAKTOBASELINE(A25:A99)</f>
        <v>99</v>
      </c>
      <c r="P19" s="27" t="s">
        <v>42</v>
      </c>
      <c r="Q19" s="27">
        <f>J19-L20</f>
        <v>18</v>
      </c>
      <c r="R19" s="3" t="s">
        <v>43</v>
      </c>
      <c r="S19" s="3">
        <f>M20-O19</f>
        <v>-18</v>
      </c>
    </row>
    <row r="20" spans="1:19" x14ac:dyDescent="0.2">
      <c r="A20" t="str">
        <f>'Entire Trace Calc'!K20</f>
        <v>BASELINE</v>
      </c>
      <c r="D20" s="28"/>
      <c r="E20" s="28"/>
      <c r="F20" s="28"/>
      <c r="G20" s="28"/>
      <c r="I20" s="20"/>
      <c r="J20" s="20"/>
      <c r="K20" s="24"/>
      <c r="L20" s="24">
        <v>7</v>
      </c>
      <c r="M20" s="24">
        <v>81</v>
      </c>
      <c r="N20" s="26"/>
      <c r="O20" s="26"/>
      <c r="P20" s="27" t="s">
        <v>41</v>
      </c>
      <c r="Q20" s="27">
        <f>Q19*0.25</f>
        <v>4.5</v>
      </c>
      <c r="R20" s="3" t="s">
        <v>41</v>
      </c>
      <c r="S20" s="3">
        <f>S19*0.25</f>
        <v>-4.5</v>
      </c>
    </row>
    <row r="21" spans="1:19" x14ac:dyDescent="0.2">
      <c r="A21">
        <f>'Entire Trace Calc'!K21</f>
        <v>1361.4770000000001</v>
      </c>
    </row>
    <row r="22" spans="1:19" x14ac:dyDescent="0.2">
      <c r="A22" t="str">
        <f>'Entire Trace Calc'!K22</f>
        <v>BASELINE</v>
      </c>
    </row>
    <row r="23" spans="1:19" x14ac:dyDescent="0.2">
      <c r="A23" t="str">
        <f>'Entire Trace Calc'!K23</f>
        <v>BASELINE</v>
      </c>
    </row>
    <row r="24" spans="1:19" x14ac:dyDescent="0.2">
      <c r="A24" t="str">
        <f>'Entire Trace Calc'!K24</f>
        <v>BASELINE</v>
      </c>
    </row>
    <row r="25" spans="1:19" x14ac:dyDescent="0.2">
      <c r="A25" t="str">
        <f>'Entire Trace Calc'!K25</f>
        <v>BASELINE</v>
      </c>
    </row>
    <row r="26" spans="1:19" x14ac:dyDescent="0.2">
      <c r="A26" t="str">
        <f>'Entire Trace Calc'!K26</f>
        <v>BASELINE</v>
      </c>
    </row>
    <row r="27" spans="1:19" x14ac:dyDescent="0.2">
      <c r="A27" t="str">
        <f>'Entire Trace Calc'!K27</f>
        <v>BASELINE</v>
      </c>
    </row>
    <row r="28" spans="1:19" x14ac:dyDescent="0.2">
      <c r="A28" t="str">
        <f>'Entire Trace Calc'!K28</f>
        <v>BASELINE</v>
      </c>
    </row>
    <row r="29" spans="1:19" x14ac:dyDescent="0.2">
      <c r="A29" t="str">
        <f>'Entire Trace Calc'!K29</f>
        <v>BASELINE</v>
      </c>
    </row>
    <row r="30" spans="1:19" x14ac:dyDescent="0.2">
      <c r="A30" t="str">
        <f>'Entire Trace Calc'!K30</f>
        <v>BASELINE</v>
      </c>
    </row>
    <row r="31" spans="1:19" x14ac:dyDescent="0.2">
      <c r="A31" t="str">
        <f>'Entire Trace Calc'!K31</f>
        <v>BASELINE</v>
      </c>
    </row>
    <row r="32" spans="1:19" x14ac:dyDescent="0.2">
      <c r="A32" t="str">
        <f>'Entire Trace Calc'!K32</f>
        <v>BASELINE</v>
      </c>
    </row>
    <row r="33" spans="1:1" x14ac:dyDescent="0.2">
      <c r="A33" t="str">
        <f>'Entire Trace Calc'!K33</f>
        <v>BASELINE</v>
      </c>
    </row>
    <row r="34" spans="1:1" x14ac:dyDescent="0.2">
      <c r="A34" t="str">
        <f>'Entire Trace Calc'!K34</f>
        <v>BASELINE</v>
      </c>
    </row>
    <row r="35" spans="1:1" x14ac:dyDescent="0.2">
      <c r="A35" t="str">
        <f>'Entire Trace Calc'!K35</f>
        <v>BASELINE</v>
      </c>
    </row>
    <row r="36" spans="1:1" x14ac:dyDescent="0.2">
      <c r="A36" t="str">
        <f>'Entire Trace Calc'!K36</f>
        <v>BASELINE</v>
      </c>
    </row>
    <row r="37" spans="1:1" x14ac:dyDescent="0.2">
      <c r="A37" t="str">
        <f>'Entire Trace Calc'!K37</f>
        <v>BASELINE</v>
      </c>
    </row>
    <row r="38" spans="1:1" x14ac:dyDescent="0.2">
      <c r="A38" t="str">
        <f>'Entire Trace Calc'!K38</f>
        <v>BASELINE</v>
      </c>
    </row>
    <row r="39" spans="1:1" x14ac:dyDescent="0.2">
      <c r="A39" t="str">
        <f>'Entire Trace Calc'!K39</f>
        <v>BASELINE</v>
      </c>
    </row>
    <row r="40" spans="1:1" x14ac:dyDescent="0.2">
      <c r="A40" t="str">
        <f>'Entire Trace Calc'!K40</f>
        <v>BASELINE</v>
      </c>
    </row>
    <row r="41" spans="1:1" x14ac:dyDescent="0.2">
      <c r="A41" t="str">
        <f>'Entire Trace Calc'!K41</f>
        <v>BASELINE</v>
      </c>
    </row>
    <row r="42" spans="1:1" x14ac:dyDescent="0.2">
      <c r="A42" t="str">
        <f>'Entire Trace Calc'!K42</f>
        <v>BASELINE</v>
      </c>
    </row>
    <row r="43" spans="1:1" x14ac:dyDescent="0.2">
      <c r="A43" t="str">
        <f>'Entire Trace Calc'!K43</f>
        <v>BASELINE</v>
      </c>
    </row>
    <row r="44" spans="1:1" x14ac:dyDescent="0.2">
      <c r="A44" t="str">
        <f>'Entire Trace Calc'!K44</f>
        <v>BASELINE</v>
      </c>
    </row>
    <row r="45" spans="1:1" x14ac:dyDescent="0.2">
      <c r="A45" t="str">
        <f>'Entire Trace Calc'!K45</f>
        <v>BASELINE</v>
      </c>
    </row>
    <row r="46" spans="1:1" x14ac:dyDescent="0.2">
      <c r="A46" t="str">
        <f>'Entire Trace Calc'!K46</f>
        <v>BASELINE</v>
      </c>
    </row>
    <row r="47" spans="1:1" x14ac:dyDescent="0.2">
      <c r="A47" t="str">
        <f>'Entire Trace Calc'!K47</f>
        <v>BASELINE</v>
      </c>
    </row>
    <row r="48" spans="1:1" x14ac:dyDescent="0.2">
      <c r="A48" t="str">
        <f>'Entire Trace Calc'!K48</f>
        <v>BASELINE</v>
      </c>
    </row>
    <row r="49" spans="1:1" x14ac:dyDescent="0.2">
      <c r="A49" t="str">
        <f>'Entire Trace Calc'!K49</f>
        <v>BASELINE</v>
      </c>
    </row>
    <row r="50" spans="1:1" x14ac:dyDescent="0.2">
      <c r="A50" t="str">
        <f>'Entire Trace Calc'!K50</f>
        <v>BASELINE</v>
      </c>
    </row>
    <row r="51" spans="1:1" x14ac:dyDescent="0.2">
      <c r="A51" t="str">
        <f>'Entire Trace Calc'!K51</f>
        <v>BASELINE</v>
      </c>
    </row>
    <row r="52" spans="1:1" x14ac:dyDescent="0.2">
      <c r="A52" t="str">
        <f>'Entire Trace Calc'!K52</f>
        <v>BASELINE</v>
      </c>
    </row>
    <row r="53" spans="1:1" x14ac:dyDescent="0.2">
      <c r="A53" t="str">
        <f>'Entire Trace Calc'!K53</f>
        <v>BASELINE</v>
      </c>
    </row>
    <row r="54" spans="1:1" x14ac:dyDescent="0.2">
      <c r="A54" t="str">
        <f>'Entire Trace Calc'!K54</f>
        <v>BASELINE</v>
      </c>
    </row>
    <row r="55" spans="1:1" x14ac:dyDescent="0.2">
      <c r="A55" t="str">
        <f>'Entire Trace Calc'!K55</f>
        <v>BASELINE</v>
      </c>
    </row>
    <row r="56" spans="1:1" x14ac:dyDescent="0.2">
      <c r="A56" t="str">
        <f>'Entire Trace Calc'!K56</f>
        <v>BASELINE</v>
      </c>
    </row>
    <row r="57" spans="1:1" x14ac:dyDescent="0.2">
      <c r="A57" t="str">
        <f>'Entire Trace Calc'!K57</f>
        <v>BASELINE</v>
      </c>
    </row>
    <row r="58" spans="1:1" x14ac:dyDescent="0.2">
      <c r="A58" t="str">
        <f>'Entire Trace Calc'!K58</f>
        <v>BASELINE</v>
      </c>
    </row>
    <row r="59" spans="1:1" x14ac:dyDescent="0.2">
      <c r="A59" t="str">
        <f>'Entire Trace Calc'!K59</f>
        <v>BASELINE</v>
      </c>
    </row>
    <row r="60" spans="1:1" x14ac:dyDescent="0.2">
      <c r="A60" t="str">
        <f>'Entire Trace Calc'!K60</f>
        <v>BASELINE</v>
      </c>
    </row>
    <row r="61" spans="1:1" x14ac:dyDescent="0.2">
      <c r="A61" t="str">
        <f>'Entire Trace Calc'!K61</f>
        <v>BASELINE</v>
      </c>
    </row>
    <row r="62" spans="1:1" x14ac:dyDescent="0.2">
      <c r="A62" t="str">
        <f>'Entire Trace Calc'!K62</f>
        <v>BASELINE</v>
      </c>
    </row>
    <row r="63" spans="1:1" x14ac:dyDescent="0.2">
      <c r="A63" t="str">
        <f>'Entire Trace Calc'!K63</f>
        <v>BASELINE</v>
      </c>
    </row>
    <row r="64" spans="1:1" x14ac:dyDescent="0.2">
      <c r="A64" t="str">
        <f>'Entire Trace Calc'!K64</f>
        <v>BASELINE</v>
      </c>
    </row>
    <row r="65" spans="1:1" x14ac:dyDescent="0.2">
      <c r="A65" t="str">
        <f>'Entire Trace Calc'!K65</f>
        <v>BASELINE</v>
      </c>
    </row>
    <row r="66" spans="1:1" x14ac:dyDescent="0.2">
      <c r="A66" t="str">
        <f>'Entire Trace Calc'!K66</f>
        <v>BASELINE</v>
      </c>
    </row>
    <row r="67" spans="1:1" x14ac:dyDescent="0.2">
      <c r="A67" t="str">
        <f>'Entire Trace Calc'!K67</f>
        <v>BASELINE</v>
      </c>
    </row>
    <row r="68" spans="1:1" x14ac:dyDescent="0.2">
      <c r="A68" t="str">
        <f>'Entire Trace Calc'!K68</f>
        <v>BASELINE</v>
      </c>
    </row>
    <row r="69" spans="1:1" x14ac:dyDescent="0.2">
      <c r="A69" t="str">
        <f>'Entire Trace Calc'!K69</f>
        <v>BASELINE</v>
      </c>
    </row>
    <row r="70" spans="1:1" x14ac:dyDescent="0.2">
      <c r="A70" t="str">
        <f>'Entire Trace Calc'!K70</f>
        <v>BASELINE</v>
      </c>
    </row>
    <row r="71" spans="1:1" x14ac:dyDescent="0.2">
      <c r="A71" t="str">
        <f>'Entire Trace Calc'!K71</f>
        <v>BASELINE</v>
      </c>
    </row>
    <row r="72" spans="1:1" x14ac:dyDescent="0.2">
      <c r="A72" t="str">
        <f>'Entire Trace Calc'!K72</f>
        <v>BASELINE</v>
      </c>
    </row>
    <row r="73" spans="1:1" x14ac:dyDescent="0.2">
      <c r="A73" t="str">
        <f>'Entire Trace Calc'!K73</f>
        <v>BASELINE</v>
      </c>
    </row>
    <row r="74" spans="1:1" x14ac:dyDescent="0.2">
      <c r="A74" t="str">
        <f>'Entire Trace Calc'!K74</f>
        <v>BASELINE</v>
      </c>
    </row>
    <row r="75" spans="1:1" x14ac:dyDescent="0.2">
      <c r="A75" t="str">
        <f>'Entire Trace Calc'!K75</f>
        <v>BASELINE</v>
      </c>
    </row>
    <row r="76" spans="1:1" x14ac:dyDescent="0.2">
      <c r="A76" t="str">
        <f>'Entire Trace Calc'!K76</f>
        <v>BASELINE</v>
      </c>
    </row>
    <row r="77" spans="1:1" x14ac:dyDescent="0.2">
      <c r="A77" t="str">
        <f>'Entire Trace Calc'!K77</f>
        <v>BASELINE</v>
      </c>
    </row>
    <row r="78" spans="1:1" x14ac:dyDescent="0.2">
      <c r="A78" t="str">
        <f>'Entire Trace Calc'!K78</f>
        <v>BASELINE</v>
      </c>
    </row>
    <row r="79" spans="1:1" x14ac:dyDescent="0.2">
      <c r="A79" t="str">
        <f>'Entire Trace Calc'!K79</f>
        <v>BASELINE</v>
      </c>
    </row>
    <row r="80" spans="1:1" x14ac:dyDescent="0.2">
      <c r="A80" t="str">
        <f>'Entire Trace Calc'!K80</f>
        <v>BASELINE</v>
      </c>
    </row>
    <row r="81" spans="1:1" x14ac:dyDescent="0.2">
      <c r="A81" t="str">
        <f>'Entire Trace Calc'!K81</f>
        <v>BASELINE</v>
      </c>
    </row>
    <row r="82" spans="1:1" x14ac:dyDescent="0.2">
      <c r="A82" t="str">
        <f>'Entire Trace Calc'!K82</f>
        <v>BASELINE</v>
      </c>
    </row>
    <row r="83" spans="1:1" x14ac:dyDescent="0.2">
      <c r="A83" t="str">
        <f>'Entire Trace Calc'!K83</f>
        <v>BASELINE</v>
      </c>
    </row>
    <row r="84" spans="1:1" x14ac:dyDescent="0.2">
      <c r="A84" t="str">
        <f>'Entire Trace Calc'!K84</f>
        <v>BASELINE</v>
      </c>
    </row>
    <row r="85" spans="1:1" x14ac:dyDescent="0.2">
      <c r="A85" t="str">
        <f>'Entire Trace Calc'!K85</f>
        <v>BASELINE</v>
      </c>
    </row>
    <row r="86" spans="1:1" x14ac:dyDescent="0.2">
      <c r="A86" t="str">
        <f>'Entire Trace Calc'!K86</f>
        <v>BASELINE</v>
      </c>
    </row>
    <row r="87" spans="1:1" x14ac:dyDescent="0.2">
      <c r="A87" t="str">
        <f>'Entire Trace Calc'!K87</f>
        <v>BASELINE</v>
      </c>
    </row>
    <row r="88" spans="1:1" x14ac:dyDescent="0.2">
      <c r="A88" t="str">
        <f>'Entire Trace Calc'!K88</f>
        <v>BASELINE</v>
      </c>
    </row>
    <row r="89" spans="1:1" x14ac:dyDescent="0.2">
      <c r="A89" t="str">
        <f>'Entire Trace Calc'!K89</f>
        <v>BASELINE</v>
      </c>
    </row>
    <row r="90" spans="1:1" x14ac:dyDescent="0.2">
      <c r="A90" t="str">
        <f>'Entire Trace Calc'!K90</f>
        <v>BASELINE</v>
      </c>
    </row>
    <row r="91" spans="1:1" x14ac:dyDescent="0.2">
      <c r="A91" t="str">
        <f>'Entire Trace Calc'!K91</f>
        <v>BASELINE</v>
      </c>
    </row>
    <row r="92" spans="1:1" x14ac:dyDescent="0.2">
      <c r="A92" t="str">
        <f>'Entire Trace Calc'!K92</f>
        <v>BASELINE</v>
      </c>
    </row>
    <row r="93" spans="1:1" x14ac:dyDescent="0.2">
      <c r="A93" t="str">
        <f>'Entire Trace Calc'!K93</f>
        <v>BASELINE</v>
      </c>
    </row>
    <row r="94" spans="1:1" x14ac:dyDescent="0.2">
      <c r="A94" t="str">
        <f>'Entire Trace Calc'!K94</f>
        <v>BASELINE</v>
      </c>
    </row>
    <row r="95" spans="1:1" x14ac:dyDescent="0.2">
      <c r="A95" t="str">
        <f>'Entire Trace Calc'!K95</f>
        <v>BASELINE</v>
      </c>
    </row>
    <row r="96" spans="1:1" x14ac:dyDescent="0.2">
      <c r="A96" t="str">
        <f>'Entire Trace Calc'!K96</f>
        <v>BASELINE</v>
      </c>
    </row>
    <row r="97" spans="1:1" x14ac:dyDescent="0.2">
      <c r="A97" t="str">
        <f>'Entire Trace Calc'!K97</f>
        <v>BASELINE</v>
      </c>
    </row>
    <row r="98" spans="1:1" x14ac:dyDescent="0.2">
      <c r="A98" t="str">
        <f>'Entire Trace Calc'!K98</f>
        <v>BASELINE</v>
      </c>
    </row>
    <row r="99" spans="1:1" x14ac:dyDescent="0.2">
      <c r="A99" t="str">
        <f>'Entire Trace Calc'!K99</f>
        <v>BASELINE</v>
      </c>
    </row>
    <row r="100" spans="1:1" x14ac:dyDescent="0.2">
      <c r="A100" t="str">
        <f>'Entire Trace Calc'!K100</f>
        <v>BASELINE</v>
      </c>
    </row>
    <row r="101" spans="1:1" x14ac:dyDescent="0.2">
      <c r="A101" t="str">
        <f>'Entire Trace Calc'!K101</f>
        <v>BASELINE</v>
      </c>
    </row>
    <row r="102" spans="1:1" x14ac:dyDescent="0.2">
      <c r="A102" t="str">
        <f>'Entire Trace Calc'!K102</f>
        <v>BASELINE</v>
      </c>
    </row>
    <row r="103" spans="1:1" x14ac:dyDescent="0.2">
      <c r="A103" t="str">
        <f>'Entire Trace Calc'!K103</f>
        <v>BASELINE</v>
      </c>
    </row>
    <row r="104" spans="1:1" x14ac:dyDescent="0.2">
      <c r="A104" t="str">
        <f>'Entire Trace Calc'!K104</f>
        <v>BASELINE</v>
      </c>
    </row>
    <row r="105" spans="1:1" x14ac:dyDescent="0.2">
      <c r="A105" t="str">
        <f>'Entire Trace Calc'!K105</f>
        <v>BASELINE</v>
      </c>
    </row>
    <row r="106" spans="1:1" x14ac:dyDescent="0.2">
      <c r="A106" t="str">
        <f>'Entire Trace Calc'!K106</f>
        <v>BASELINE</v>
      </c>
    </row>
    <row r="107" spans="1:1" x14ac:dyDescent="0.2">
      <c r="A107" t="str">
        <f>'Entire Trace Calc'!K107</f>
        <v>BASELINE</v>
      </c>
    </row>
    <row r="108" spans="1:1" x14ac:dyDescent="0.2">
      <c r="A108" t="str">
        <f>'Entire Trace Calc'!K108</f>
        <v>BASELINE</v>
      </c>
    </row>
    <row r="109" spans="1:1" x14ac:dyDescent="0.2">
      <c r="A109" t="str">
        <f>'Entire Trace Calc'!K109</f>
        <v>BASELINE</v>
      </c>
    </row>
    <row r="110" spans="1:1" x14ac:dyDescent="0.2">
      <c r="A110" t="str">
        <f>'Entire Trace Calc'!K110</f>
        <v>BASELINE</v>
      </c>
    </row>
    <row r="111" spans="1:1" x14ac:dyDescent="0.2">
      <c r="A111" t="str">
        <f>'Entire Trace Calc'!K111</f>
        <v>BASELINE</v>
      </c>
    </row>
    <row r="112" spans="1:1" x14ac:dyDescent="0.2">
      <c r="A112" t="str">
        <f>'Entire Trace Calc'!K112</f>
        <v>BASELINE</v>
      </c>
    </row>
    <row r="113" spans="1:1" x14ac:dyDescent="0.2">
      <c r="A113" t="str">
        <f>'Entire Trace Calc'!K113</f>
        <v>BASELINE</v>
      </c>
    </row>
    <row r="114" spans="1:1" x14ac:dyDescent="0.2">
      <c r="A114" t="str">
        <f>'Entire Trace Calc'!K114</f>
        <v>BASELINE</v>
      </c>
    </row>
    <row r="115" spans="1:1" x14ac:dyDescent="0.2">
      <c r="A115" t="str">
        <f>'Entire Trace Calc'!K115</f>
        <v>BASELINE</v>
      </c>
    </row>
    <row r="116" spans="1:1" x14ac:dyDescent="0.2">
      <c r="A116" t="str">
        <f>'Entire Trace Calc'!K116</f>
        <v>BASELINE</v>
      </c>
    </row>
    <row r="117" spans="1:1" x14ac:dyDescent="0.2">
      <c r="A117" t="str">
        <f>'Entire Trace Calc'!K117</f>
        <v>BASELINE</v>
      </c>
    </row>
    <row r="118" spans="1:1" x14ac:dyDescent="0.2">
      <c r="A118" t="str">
        <f>'Entire Trace Calc'!K118</f>
        <v>BASELINE</v>
      </c>
    </row>
    <row r="119" spans="1:1" x14ac:dyDescent="0.2">
      <c r="A119" t="str">
        <f>'Entire Trace Calc'!K119</f>
        <v>BASELINE</v>
      </c>
    </row>
    <row r="120" spans="1:1" x14ac:dyDescent="0.2">
      <c r="A120" t="str">
        <f>'Entire Trace Calc'!K120</f>
        <v>BASELINE</v>
      </c>
    </row>
    <row r="121" spans="1:1" x14ac:dyDescent="0.2">
      <c r="A121" t="str">
        <f>'Entire Trace Calc'!K121</f>
        <v>BASELINE</v>
      </c>
    </row>
    <row r="122" spans="1:1" x14ac:dyDescent="0.2">
      <c r="A122" t="str">
        <f>'Entire Trace Calc'!K122</f>
        <v>BASELINE</v>
      </c>
    </row>
    <row r="123" spans="1:1" x14ac:dyDescent="0.2">
      <c r="A123" t="str">
        <f>'Entire Trace Calc'!K123</f>
        <v>BASELINE</v>
      </c>
    </row>
    <row r="124" spans="1:1" x14ac:dyDescent="0.2">
      <c r="A124" t="str">
        <f>'Entire Trace Calc'!K124</f>
        <v>BASELINE</v>
      </c>
    </row>
    <row r="125" spans="1:1" x14ac:dyDescent="0.2">
      <c r="A125" t="str">
        <f>'Entire Trace Calc'!K125</f>
        <v>BASELINE</v>
      </c>
    </row>
    <row r="126" spans="1:1" x14ac:dyDescent="0.2">
      <c r="A126" t="str">
        <f>'Entire Trace Calc'!K126</f>
        <v>BASELINE</v>
      </c>
    </row>
    <row r="127" spans="1:1" x14ac:dyDescent="0.2">
      <c r="A127" t="str">
        <f>'Entire Trace Calc'!K127</f>
        <v>BASELINE</v>
      </c>
    </row>
    <row r="128" spans="1:1" x14ac:dyDescent="0.2">
      <c r="A128" t="str">
        <f>'Entire Trace Calc'!K128</f>
        <v>BASELINE</v>
      </c>
    </row>
    <row r="129" spans="1:1" x14ac:dyDescent="0.2">
      <c r="A129" t="str">
        <f>'Entire Trace Calc'!K129</f>
        <v>BASELINE</v>
      </c>
    </row>
    <row r="130" spans="1:1" x14ac:dyDescent="0.2">
      <c r="A130" t="str">
        <f>'Entire Trace Calc'!K130</f>
        <v>BASELINE</v>
      </c>
    </row>
    <row r="131" spans="1:1" x14ac:dyDescent="0.2">
      <c r="A131" t="str">
        <f>'Entire Trace Calc'!K131</f>
        <v>BASELINE</v>
      </c>
    </row>
    <row r="132" spans="1:1" x14ac:dyDescent="0.2">
      <c r="A132" t="str">
        <f>'Entire Trace Calc'!K132</f>
        <v>BASELINE</v>
      </c>
    </row>
    <row r="133" spans="1:1" x14ac:dyDescent="0.2">
      <c r="A133" t="str">
        <f>'Entire Trace Calc'!K133</f>
        <v>BASELINE</v>
      </c>
    </row>
    <row r="134" spans="1:1" x14ac:dyDescent="0.2">
      <c r="A134" t="str">
        <f>'Entire Trace Calc'!K134</f>
        <v>BASELINE</v>
      </c>
    </row>
    <row r="135" spans="1:1" x14ac:dyDescent="0.2">
      <c r="A135" t="str">
        <f>'Entire Trace Calc'!K135</f>
        <v>BASELINE</v>
      </c>
    </row>
    <row r="136" spans="1:1" x14ac:dyDescent="0.2">
      <c r="A136" t="str">
        <f>'Entire Trace Calc'!K136</f>
        <v>BASELINE</v>
      </c>
    </row>
    <row r="137" spans="1:1" x14ac:dyDescent="0.2">
      <c r="A137" t="str">
        <f>'Entire Trace Calc'!K137</f>
        <v>BASELINE</v>
      </c>
    </row>
    <row r="138" spans="1:1" x14ac:dyDescent="0.2">
      <c r="A138" t="str">
        <f>'Entire Trace Calc'!K138</f>
        <v>BASELINE</v>
      </c>
    </row>
    <row r="139" spans="1:1" x14ac:dyDescent="0.2">
      <c r="A139" t="str">
        <f>'Entire Trace Calc'!K139</f>
        <v>BASELINE</v>
      </c>
    </row>
    <row r="140" spans="1:1" x14ac:dyDescent="0.2">
      <c r="A140" t="str">
        <f>'Entire Trace Calc'!K140</f>
        <v>BASELINE</v>
      </c>
    </row>
    <row r="141" spans="1:1" x14ac:dyDescent="0.2">
      <c r="A141" t="str">
        <f>'Entire Trace Calc'!K141</f>
        <v>BASELINE</v>
      </c>
    </row>
    <row r="142" spans="1:1" x14ac:dyDescent="0.2">
      <c r="A142" t="str">
        <f>'Entire Trace Calc'!K142</f>
        <v>BASELINE</v>
      </c>
    </row>
    <row r="143" spans="1:1" x14ac:dyDescent="0.2">
      <c r="A143" t="str">
        <f>'Entire Trace Calc'!K143</f>
        <v>BASELINE</v>
      </c>
    </row>
    <row r="144" spans="1:1" x14ac:dyDescent="0.2">
      <c r="A144">
        <f>'Entire Trace Calc'!K144</f>
        <v>1627.21</v>
      </c>
    </row>
    <row r="145" spans="1:1" x14ac:dyDescent="0.2">
      <c r="A145">
        <f>'Entire Trace Calc'!K145</f>
        <v>2900.9949999999999</v>
      </c>
    </row>
    <row r="146" spans="1:1" x14ac:dyDescent="0.2">
      <c r="A146">
        <f>'Entire Trace Calc'!K146</f>
        <v>3974.8989999999999</v>
      </c>
    </row>
    <row r="147" spans="1:1" x14ac:dyDescent="0.2">
      <c r="A147">
        <f>'Entire Trace Calc'!K147</f>
        <v>4897.5420000000004</v>
      </c>
    </row>
    <row r="148" spans="1:1" x14ac:dyDescent="0.2">
      <c r="A148">
        <f>'Entire Trace Calc'!K148</f>
        <v>5639.1850000000004</v>
      </c>
    </row>
    <row r="149" spans="1:1" x14ac:dyDescent="0.2">
      <c r="A149">
        <f>'Entire Trace Calc'!K149</f>
        <v>6255.3450000000003</v>
      </c>
    </row>
    <row r="150" spans="1:1" x14ac:dyDescent="0.2">
      <c r="A150">
        <f>'Entire Trace Calc'!K150</f>
        <v>6947.1030000000001</v>
      </c>
    </row>
    <row r="151" spans="1:1" x14ac:dyDescent="0.2">
      <c r="A151">
        <f>'Entire Trace Calc'!K151</f>
        <v>7531.4390000000003</v>
      </c>
    </row>
    <row r="152" spans="1:1" x14ac:dyDescent="0.2">
      <c r="A152">
        <f>'Entire Trace Calc'!K152</f>
        <v>8053.1120000000001</v>
      </c>
    </row>
    <row r="153" spans="1:1" x14ac:dyDescent="0.2">
      <c r="A153">
        <f>'Entire Trace Calc'!K153</f>
        <v>8458.43</v>
      </c>
    </row>
    <row r="154" spans="1:1" x14ac:dyDescent="0.2">
      <c r="A154">
        <f>'Entire Trace Calc'!K154</f>
        <v>8608.8829999999998</v>
      </c>
    </row>
    <row r="155" spans="1:1" x14ac:dyDescent="0.2">
      <c r="A155">
        <f>'Entire Trace Calc'!K155</f>
        <v>8642.1579999999994</v>
      </c>
    </row>
    <row r="156" spans="1:1" x14ac:dyDescent="0.2">
      <c r="A156">
        <f>'Entire Trace Calc'!K156</f>
        <v>8625.366</v>
      </c>
    </row>
    <row r="157" spans="1:1" x14ac:dyDescent="0.2">
      <c r="A157">
        <f>'Entire Trace Calc'!K157</f>
        <v>8533.3379999999997</v>
      </c>
    </row>
    <row r="158" spans="1:1" x14ac:dyDescent="0.2">
      <c r="A158">
        <f>'Entire Trace Calc'!K158</f>
        <v>8383.4249999999993</v>
      </c>
    </row>
    <row r="159" spans="1:1" x14ac:dyDescent="0.2">
      <c r="A159">
        <f>'Entire Trace Calc'!K159</f>
        <v>8108.2250000000004</v>
      </c>
    </row>
    <row r="160" spans="1:1" x14ac:dyDescent="0.2">
      <c r="A160">
        <f>'Entire Trace Calc'!K160</f>
        <v>7848.7290000000003</v>
      </c>
    </row>
    <row r="161" spans="1:1" x14ac:dyDescent="0.2">
      <c r="A161">
        <f>'Entire Trace Calc'!K161</f>
        <v>7620.7269999999999</v>
      </c>
    </row>
    <row r="162" spans="1:1" x14ac:dyDescent="0.2">
      <c r="A162">
        <f>'Entire Trace Calc'!K162</f>
        <v>7145.7110000000002</v>
      </c>
    </row>
    <row r="163" spans="1:1" x14ac:dyDescent="0.2">
      <c r="A163">
        <f>'Entire Trace Calc'!K163</f>
        <v>6785.88</v>
      </c>
    </row>
    <row r="164" spans="1:1" x14ac:dyDescent="0.2">
      <c r="A164">
        <f>'Entire Trace Calc'!K164</f>
        <v>6613.3109999999997</v>
      </c>
    </row>
    <row r="165" spans="1:1" x14ac:dyDescent="0.2">
      <c r="A165">
        <f>'Entire Trace Calc'!K165</f>
        <v>6471.3109999999997</v>
      </c>
    </row>
    <row r="166" spans="1:1" x14ac:dyDescent="0.2">
      <c r="A166">
        <f>'Entire Trace Calc'!K166</f>
        <v>6290.1019999999999</v>
      </c>
    </row>
    <row r="167" spans="1:1" x14ac:dyDescent="0.2">
      <c r="A167">
        <f>'Entire Trace Calc'!K167</f>
        <v>6097.2179999999998</v>
      </c>
    </row>
    <row r="168" spans="1:1" x14ac:dyDescent="0.2">
      <c r="A168">
        <f>'Entire Trace Calc'!K168</f>
        <v>5933.5879999999997</v>
      </c>
    </row>
    <row r="169" spans="1:1" x14ac:dyDescent="0.2">
      <c r="A169">
        <f>'Entire Trace Calc'!K169</f>
        <v>5780.8450000000003</v>
      </c>
    </row>
    <row r="170" spans="1:1" x14ac:dyDescent="0.2">
      <c r="A170">
        <f>'Entire Trace Calc'!K170</f>
        <v>5671.6949999999997</v>
      </c>
    </row>
    <row r="171" spans="1:1" x14ac:dyDescent="0.2">
      <c r="A171">
        <f>'Entire Trace Calc'!K171</f>
        <v>5486.2039999999997</v>
      </c>
    </row>
    <row r="172" spans="1:1" x14ac:dyDescent="0.2">
      <c r="A172">
        <f>'Entire Trace Calc'!K172</f>
        <v>5290.3680000000004</v>
      </c>
    </row>
    <row r="173" spans="1:1" x14ac:dyDescent="0.2">
      <c r="A173">
        <f>'Entire Trace Calc'!K173</f>
        <v>5049.7240000000002</v>
      </c>
    </row>
    <row r="174" spans="1:1" x14ac:dyDescent="0.2">
      <c r="A174">
        <f>'Entire Trace Calc'!K174</f>
        <v>4796.7340000000004</v>
      </c>
    </row>
    <row r="175" spans="1:1" x14ac:dyDescent="0.2">
      <c r="A175">
        <f>'Entire Trace Calc'!K175</f>
        <v>4654.6660000000002</v>
      </c>
    </row>
    <row r="176" spans="1:1" x14ac:dyDescent="0.2">
      <c r="A176">
        <f>'Entire Trace Calc'!K176</f>
        <v>4515.2569999999996</v>
      </c>
    </row>
    <row r="177" spans="1:1" x14ac:dyDescent="0.2">
      <c r="A177">
        <f>'Entire Trace Calc'!K177</f>
        <v>4385.2809999999999</v>
      </c>
    </row>
    <row r="178" spans="1:1" x14ac:dyDescent="0.2">
      <c r="A178">
        <f>'Entire Trace Calc'!K178</f>
        <v>4184.201</v>
      </c>
    </row>
    <row r="179" spans="1:1" x14ac:dyDescent="0.2">
      <c r="A179">
        <f>'Entire Trace Calc'!K179</f>
        <v>4022.08</v>
      </c>
    </row>
    <row r="180" spans="1:1" x14ac:dyDescent="0.2">
      <c r="A180">
        <f>'Entire Trace Calc'!K180</f>
        <v>3919.5729999999999</v>
      </c>
    </row>
    <row r="181" spans="1:1" x14ac:dyDescent="0.2">
      <c r="A181">
        <f>'Entire Trace Calc'!K181</f>
        <v>3874.8150000000001</v>
      </c>
    </row>
    <row r="182" spans="1:1" x14ac:dyDescent="0.2">
      <c r="A182">
        <f>'Entire Trace Calc'!K182</f>
        <v>3845.9780000000001</v>
      </c>
    </row>
    <row r="183" spans="1:1" x14ac:dyDescent="0.2">
      <c r="A183">
        <f>'Entire Trace Calc'!K183</f>
        <v>3823.3560000000002</v>
      </c>
    </row>
    <row r="184" spans="1:1" x14ac:dyDescent="0.2">
      <c r="A184">
        <f>'Entire Trace Calc'!K184</f>
        <v>3876.181</v>
      </c>
    </row>
    <row r="185" spans="1:1" x14ac:dyDescent="0.2">
      <c r="A185">
        <f>'Entire Trace Calc'!K185</f>
        <v>3869.797</v>
      </c>
    </row>
    <row r="186" spans="1:1" x14ac:dyDescent="0.2">
      <c r="A186">
        <f>'Entire Trace Calc'!K186</f>
        <v>3880.3330000000001</v>
      </c>
    </row>
    <row r="187" spans="1:1" x14ac:dyDescent="0.2">
      <c r="A187">
        <f>'Entire Trace Calc'!K187</f>
        <v>3887.2809999999999</v>
      </c>
    </row>
    <row r="188" spans="1:1" x14ac:dyDescent="0.2">
      <c r="A188">
        <f>'Entire Trace Calc'!K188</f>
        <v>3826.8510000000001</v>
      </c>
    </row>
    <row r="189" spans="1:1" x14ac:dyDescent="0.2">
      <c r="A189">
        <f>'Entire Trace Calc'!K189</f>
        <v>3743.7660000000001</v>
      </c>
    </row>
    <row r="190" spans="1:1" x14ac:dyDescent="0.2">
      <c r="A190">
        <f>'Entire Trace Calc'!K190</f>
        <v>3636.893</v>
      </c>
    </row>
    <row r="191" spans="1:1" x14ac:dyDescent="0.2">
      <c r="A191">
        <f>'Entire Trace Calc'!K191</f>
        <v>3568.3490000000002</v>
      </c>
    </row>
    <row r="192" spans="1:1" x14ac:dyDescent="0.2">
      <c r="A192">
        <f>'Entire Trace Calc'!K192</f>
        <v>3583.3159999999998</v>
      </c>
    </row>
    <row r="193" spans="1:1" x14ac:dyDescent="0.2">
      <c r="A193">
        <f>'Entire Trace Calc'!K193</f>
        <v>3614.11</v>
      </c>
    </row>
    <row r="194" spans="1:1" x14ac:dyDescent="0.2">
      <c r="A194">
        <f>'Entire Trace Calc'!K194</f>
        <v>3618.2550000000001</v>
      </c>
    </row>
    <row r="195" spans="1:1" x14ac:dyDescent="0.2">
      <c r="A195">
        <f>'Entire Trace Calc'!K195</f>
        <v>3642.8220000000001</v>
      </c>
    </row>
    <row r="196" spans="1:1" x14ac:dyDescent="0.2">
      <c r="A196">
        <f>'Entire Trace Calc'!K196</f>
        <v>3736.1219999999998</v>
      </c>
    </row>
    <row r="197" spans="1:1" x14ac:dyDescent="0.2">
      <c r="A197">
        <f>'Entire Trace Calc'!K197</f>
        <v>3818.982</v>
      </c>
    </row>
    <row r="198" spans="1:1" x14ac:dyDescent="0.2">
      <c r="A198">
        <f>'Entire Trace Calc'!K198</f>
        <v>3928.567</v>
      </c>
    </row>
    <row r="199" spans="1:1" x14ac:dyDescent="0.2">
      <c r="A199">
        <f>'Entire Trace Calc'!K199</f>
        <v>4055.1190000000001</v>
      </c>
    </row>
    <row r="200" spans="1:1" x14ac:dyDescent="0.2">
      <c r="A200">
        <f>'Entire Trace Calc'!K200</f>
        <v>4175.0659999999998</v>
      </c>
    </row>
    <row r="201" spans="1:1" x14ac:dyDescent="0.2">
      <c r="A201">
        <f>'Entire Trace Calc'!K201</f>
        <v>4385.652</v>
      </c>
    </row>
    <row r="202" spans="1:1" x14ac:dyDescent="0.2">
      <c r="A202">
        <f>'Entire Trace Calc'!K202</f>
        <v>4423.308</v>
      </c>
    </row>
    <row r="203" spans="1:1" x14ac:dyDescent="0.2">
      <c r="A203">
        <f>'Entire Trace Calc'!K203</f>
        <v>4377.3620000000001</v>
      </c>
    </row>
    <row r="204" spans="1:1" x14ac:dyDescent="0.2">
      <c r="A204">
        <f>'Entire Trace Calc'!K204</f>
        <v>4380.0159999999996</v>
      </c>
    </row>
    <row r="205" spans="1:1" x14ac:dyDescent="0.2">
      <c r="A205">
        <f>'Entire Trace Calc'!K205</f>
        <v>4404.5200000000004</v>
      </c>
    </row>
    <row r="206" spans="1:1" x14ac:dyDescent="0.2">
      <c r="A206">
        <f>'Entire Trace Calc'!K206</f>
        <v>4430.7470000000003</v>
      </c>
    </row>
    <row r="207" spans="1:1" x14ac:dyDescent="0.2">
      <c r="A207">
        <f>'Entire Trace Calc'!K207</f>
        <v>4403.4380000000001</v>
      </c>
    </row>
    <row r="208" spans="1:1" x14ac:dyDescent="0.2">
      <c r="A208">
        <f>'Entire Trace Calc'!K208</f>
        <v>4443.8329999999996</v>
      </c>
    </row>
    <row r="209" spans="1:1" x14ac:dyDescent="0.2">
      <c r="A209">
        <f>'Entire Trace Calc'!K209</f>
        <v>4486.4459999999999</v>
      </c>
    </row>
    <row r="210" spans="1:1" x14ac:dyDescent="0.2">
      <c r="A210">
        <f>'Entire Trace Calc'!K210</f>
        <v>4784.33</v>
      </c>
    </row>
    <row r="211" spans="1:1" x14ac:dyDescent="0.2">
      <c r="A211">
        <f>'Entire Trace Calc'!K211</f>
        <v>5624.9489999999996</v>
      </c>
    </row>
    <row r="212" spans="1:1" x14ac:dyDescent="0.2">
      <c r="A212">
        <f>'Entire Trace Calc'!K212</f>
        <v>5698.9790000000003</v>
      </c>
    </row>
    <row r="213" spans="1:1" x14ac:dyDescent="0.2">
      <c r="A213">
        <f>'Entire Trace Calc'!K213</f>
        <v>5694.3829999999998</v>
      </c>
    </row>
    <row r="214" spans="1:1" x14ac:dyDescent="0.2">
      <c r="A214">
        <f>'Entire Trace Calc'!K214</f>
        <v>5711.7370000000001</v>
      </c>
    </row>
    <row r="215" spans="1:1" x14ac:dyDescent="0.2">
      <c r="A215">
        <f>'Entire Trace Calc'!K215</f>
        <v>5683.2740000000003</v>
      </c>
    </row>
    <row r="216" spans="1:1" x14ac:dyDescent="0.2">
      <c r="A216">
        <f>'Entire Trace Calc'!K216</f>
        <v>5660.7030000000004</v>
      </c>
    </row>
    <row r="217" spans="1:1" x14ac:dyDescent="0.2">
      <c r="A217">
        <f>'Entire Trace Calc'!K217</f>
        <v>5577.2719999999999</v>
      </c>
    </row>
    <row r="218" spans="1:1" x14ac:dyDescent="0.2">
      <c r="A218">
        <f>'Entire Trace Calc'!K218</f>
        <v>5514.2460000000001</v>
      </c>
    </row>
    <row r="219" spans="1:1" x14ac:dyDescent="0.2">
      <c r="A219">
        <f>'Entire Trace Calc'!K219</f>
        <v>5441.91</v>
      </c>
    </row>
    <row r="220" spans="1:1" x14ac:dyDescent="0.2">
      <c r="A220">
        <f>'Entire Trace Calc'!K220</f>
        <v>5406.884</v>
      </c>
    </row>
    <row r="221" spans="1:1" x14ac:dyDescent="0.2">
      <c r="A221">
        <f>'Entire Trace Calc'!K221</f>
        <v>5358.5469999999996</v>
      </c>
    </row>
    <row r="222" spans="1:1" x14ac:dyDescent="0.2">
      <c r="A222">
        <f>'Entire Trace Calc'!K222</f>
        <v>5289.2560000000003</v>
      </c>
    </row>
    <row r="223" spans="1:1" x14ac:dyDescent="0.2">
      <c r="A223">
        <f>'Entire Trace Calc'!K223</f>
        <v>5294.26</v>
      </c>
    </row>
    <row r="224" spans="1:1" x14ac:dyDescent="0.2">
      <c r="A224">
        <f>'Entire Trace Calc'!K224</f>
        <v>5256.6289999999999</v>
      </c>
    </row>
    <row r="225" spans="1:1" x14ac:dyDescent="0.2">
      <c r="A225">
        <f>'Entire Trace Calc'!K225</f>
        <v>5184.1850000000004</v>
      </c>
    </row>
    <row r="226" spans="1:1" x14ac:dyDescent="0.2">
      <c r="A226">
        <f>'Entire Trace Calc'!K226</f>
        <v>5100.0659999999998</v>
      </c>
    </row>
    <row r="227" spans="1:1" x14ac:dyDescent="0.2">
      <c r="A227">
        <f>'Entire Trace Calc'!K227</f>
        <v>5024.9250000000002</v>
      </c>
    </row>
    <row r="228" spans="1:1" x14ac:dyDescent="0.2">
      <c r="A228">
        <f>'Entire Trace Calc'!K228</f>
        <v>4926.2780000000002</v>
      </c>
    </row>
    <row r="229" spans="1:1" x14ac:dyDescent="0.2">
      <c r="A229">
        <f>'Entire Trace Calc'!K229</f>
        <v>4858.5410000000002</v>
      </c>
    </row>
    <row r="230" spans="1:1" x14ac:dyDescent="0.2">
      <c r="A230">
        <f>'Entire Trace Calc'!K230</f>
        <v>4726.3969999999999</v>
      </c>
    </row>
    <row r="231" spans="1:1" x14ac:dyDescent="0.2">
      <c r="A231">
        <f>'Entire Trace Calc'!K231</f>
        <v>4654.8209999999999</v>
      </c>
    </row>
    <row r="232" spans="1:1" x14ac:dyDescent="0.2">
      <c r="A232">
        <f>'Entire Trace Calc'!K232</f>
        <v>4664.2889999999998</v>
      </c>
    </row>
    <row r="233" spans="1:1" x14ac:dyDescent="0.2">
      <c r="A233">
        <f>'Entire Trace Calc'!K233</f>
        <v>4591.33</v>
      </c>
    </row>
    <row r="234" spans="1:1" x14ac:dyDescent="0.2">
      <c r="A234">
        <f>'Entire Trace Calc'!K234</f>
        <v>4615.1819999999998</v>
      </c>
    </row>
    <row r="235" spans="1:1" x14ac:dyDescent="0.2">
      <c r="A235">
        <f>'Entire Trace Calc'!K235</f>
        <v>4673.2719999999999</v>
      </c>
    </row>
    <row r="236" spans="1:1" x14ac:dyDescent="0.2">
      <c r="A236">
        <f>'Entire Trace Calc'!K236</f>
        <v>4716.6930000000002</v>
      </c>
    </row>
    <row r="237" spans="1:1" x14ac:dyDescent="0.2">
      <c r="A237">
        <f>'Entire Trace Calc'!K237</f>
        <v>4756.1180000000004</v>
      </c>
    </row>
    <row r="238" spans="1:1" x14ac:dyDescent="0.2">
      <c r="A238">
        <f>'Entire Trace Calc'!K238</f>
        <v>4768.1629999999996</v>
      </c>
    </row>
    <row r="239" spans="1:1" x14ac:dyDescent="0.2">
      <c r="A239">
        <f>'Entire Trace Calc'!K239</f>
        <v>4753.6120000000001</v>
      </c>
    </row>
    <row r="240" spans="1:1" x14ac:dyDescent="0.2">
      <c r="A240">
        <f>'Entire Trace Calc'!K240</f>
        <v>4750.9210000000003</v>
      </c>
    </row>
    <row r="241" spans="1:1" x14ac:dyDescent="0.2">
      <c r="A241">
        <f>'Entire Trace Calc'!K241</f>
        <v>4750.4210000000003</v>
      </c>
    </row>
    <row r="242" spans="1:1" x14ac:dyDescent="0.2">
      <c r="A242">
        <f>'Entire Trace Calc'!K242</f>
        <v>4722.9110000000001</v>
      </c>
    </row>
    <row r="243" spans="1:1" x14ac:dyDescent="0.2">
      <c r="A243">
        <f>'Entire Trace Calc'!K243</f>
        <v>4727.3890000000001</v>
      </c>
    </row>
    <row r="244" spans="1:1" x14ac:dyDescent="0.2">
      <c r="A244">
        <f>'Entire Trace Calc'!K244</f>
        <v>4751.723</v>
      </c>
    </row>
    <row r="245" spans="1:1" x14ac:dyDescent="0.2">
      <c r="A245">
        <f>'Entire Trace Calc'!K245</f>
        <v>4716.4920000000002</v>
      </c>
    </row>
    <row r="246" spans="1:1" x14ac:dyDescent="0.2">
      <c r="A246">
        <f>'Entire Trace Calc'!K246</f>
        <v>4716.1189999999997</v>
      </c>
    </row>
    <row r="247" spans="1:1" x14ac:dyDescent="0.2">
      <c r="A247">
        <f>'Entire Trace Calc'!K247</f>
        <v>4698.1719999999996</v>
      </c>
    </row>
    <row r="248" spans="1:1" x14ac:dyDescent="0.2">
      <c r="A248">
        <f>'Entire Trace Calc'!K248</f>
        <v>4604.07</v>
      </c>
    </row>
    <row r="249" spans="1:1" x14ac:dyDescent="0.2">
      <c r="A249">
        <f>'Entire Trace Calc'!K249</f>
        <v>4546.8</v>
      </c>
    </row>
    <row r="250" spans="1:1" x14ac:dyDescent="0.2">
      <c r="A250">
        <f>'Entire Trace Calc'!K250</f>
        <v>4522.4709999999995</v>
      </c>
    </row>
    <row r="251" spans="1:1" x14ac:dyDescent="0.2">
      <c r="A251">
        <f>'Entire Trace Calc'!K251</f>
        <v>4569.2190000000001</v>
      </c>
    </row>
    <row r="252" spans="1:1" x14ac:dyDescent="0.2">
      <c r="A252">
        <f>'Entire Trace Calc'!K252</f>
        <v>4551.107</v>
      </c>
    </row>
    <row r="253" spans="1:1" x14ac:dyDescent="0.2">
      <c r="A253">
        <f>'Entire Trace Calc'!K253</f>
        <v>4504.1629999999996</v>
      </c>
    </row>
    <row r="254" spans="1:1" x14ac:dyDescent="0.2">
      <c r="A254">
        <f>'Entire Trace Calc'!K254</f>
        <v>4480.3909999999996</v>
      </c>
    </row>
    <row r="255" spans="1:1" x14ac:dyDescent="0.2">
      <c r="A255">
        <f>'Entire Trace Calc'!K255</f>
        <v>4453.5690000000004</v>
      </c>
    </row>
    <row r="256" spans="1:1" x14ac:dyDescent="0.2">
      <c r="A256">
        <f>'Entire Trace Calc'!K256</f>
        <v>4452.366</v>
      </c>
    </row>
    <row r="257" spans="1:1" x14ac:dyDescent="0.2">
      <c r="A257">
        <f>'Entire Trace Calc'!K257</f>
        <v>4433.018</v>
      </c>
    </row>
    <row r="258" spans="1:1" x14ac:dyDescent="0.2">
      <c r="A258">
        <f>'Entire Trace Calc'!K258</f>
        <v>4414.1850000000004</v>
      </c>
    </row>
    <row r="259" spans="1:1" x14ac:dyDescent="0.2">
      <c r="A259">
        <f>'Entire Trace Calc'!K259</f>
        <v>4390.192</v>
      </c>
    </row>
    <row r="260" spans="1:1" x14ac:dyDescent="0.2">
      <c r="A260">
        <f>'Entire Trace Calc'!K260</f>
        <v>4390.8519999999999</v>
      </c>
    </row>
    <row r="261" spans="1:1" x14ac:dyDescent="0.2">
      <c r="A261">
        <f>'Entire Trace Calc'!K261</f>
        <v>4359.0420000000004</v>
      </c>
    </row>
    <row r="262" spans="1:1" x14ac:dyDescent="0.2">
      <c r="A262">
        <f>'Entire Trace Calc'!K262</f>
        <v>4319.5379999999996</v>
      </c>
    </row>
    <row r="263" spans="1:1" x14ac:dyDescent="0.2">
      <c r="A263">
        <f>'Entire Trace Calc'!K263</f>
        <v>4254.4110000000001</v>
      </c>
    </row>
    <row r="264" spans="1:1" x14ac:dyDescent="0.2">
      <c r="A264">
        <f>'Entire Trace Calc'!K264</f>
        <v>4225.2820000000002</v>
      </c>
    </row>
    <row r="265" spans="1:1" x14ac:dyDescent="0.2">
      <c r="A265">
        <f>'Entire Trace Calc'!K265</f>
        <v>4122.2060000000001</v>
      </c>
    </row>
    <row r="266" spans="1:1" x14ac:dyDescent="0.2">
      <c r="A266">
        <f>'Entire Trace Calc'!K266</f>
        <v>4044.7249999999999</v>
      </c>
    </row>
    <row r="267" spans="1:1" x14ac:dyDescent="0.2">
      <c r="A267">
        <f>'Entire Trace Calc'!K267</f>
        <v>3915.4090000000001</v>
      </c>
    </row>
    <row r="268" spans="1:1" x14ac:dyDescent="0.2">
      <c r="A268">
        <f>'Entire Trace Calc'!K268</f>
        <v>3880.6480000000001</v>
      </c>
    </row>
    <row r="269" spans="1:1" x14ac:dyDescent="0.2">
      <c r="A269">
        <f>'Entire Trace Calc'!K269</f>
        <v>3901.212</v>
      </c>
    </row>
    <row r="270" spans="1:1" x14ac:dyDescent="0.2">
      <c r="A270">
        <f>'Entire Trace Calc'!K270</f>
        <v>3924.6880000000001</v>
      </c>
    </row>
    <row r="271" spans="1:1" x14ac:dyDescent="0.2">
      <c r="A271">
        <f>'Entire Trace Calc'!K271</f>
        <v>4003.7840000000001</v>
      </c>
    </row>
    <row r="272" spans="1:1" x14ac:dyDescent="0.2">
      <c r="A272">
        <f>'Entire Trace Calc'!K272</f>
        <v>4090.7150000000001</v>
      </c>
    </row>
    <row r="273" spans="1:1" x14ac:dyDescent="0.2">
      <c r="A273">
        <f>'Entire Trace Calc'!K273</f>
        <v>4075.779</v>
      </c>
    </row>
    <row r="274" spans="1:1" x14ac:dyDescent="0.2">
      <c r="A274">
        <f>'Entire Trace Calc'!K274</f>
        <v>4059.1619999999998</v>
      </c>
    </row>
    <row r="275" spans="1:1" x14ac:dyDescent="0.2">
      <c r="A275">
        <f>'Entire Trace Calc'!K275</f>
        <v>4029.8240000000001</v>
      </c>
    </row>
    <row r="276" spans="1:1" x14ac:dyDescent="0.2">
      <c r="A276">
        <f>'Entire Trace Calc'!K276</f>
        <v>4052.01</v>
      </c>
    </row>
    <row r="277" spans="1:1" x14ac:dyDescent="0.2">
      <c r="A277">
        <f>'Entire Trace Calc'!K277</f>
        <v>4111.8919999999998</v>
      </c>
    </row>
    <row r="278" spans="1:1" x14ac:dyDescent="0.2">
      <c r="A278">
        <f>'Entire Trace Calc'!K278</f>
        <v>4096.99</v>
      </c>
    </row>
    <row r="279" spans="1:1" x14ac:dyDescent="0.2">
      <c r="A279">
        <f>'Entire Trace Calc'!K279</f>
        <v>4065.9119999999998</v>
      </c>
    </row>
    <row r="280" spans="1:1" x14ac:dyDescent="0.2">
      <c r="A280">
        <f>'Entire Trace Calc'!K280</f>
        <v>4073.4540000000002</v>
      </c>
    </row>
    <row r="281" spans="1:1" x14ac:dyDescent="0.2">
      <c r="A281">
        <f>'Entire Trace Calc'!K281</f>
        <v>4041.4279999999999</v>
      </c>
    </row>
    <row r="282" spans="1:1" x14ac:dyDescent="0.2">
      <c r="A282">
        <f>'Entire Trace Calc'!K282</f>
        <v>3997.7820000000002</v>
      </c>
    </row>
    <row r="283" spans="1:1" x14ac:dyDescent="0.2">
      <c r="A283">
        <f>'Entire Trace Calc'!K283</f>
        <v>3905.027</v>
      </c>
    </row>
    <row r="284" spans="1:1" x14ac:dyDescent="0.2">
      <c r="A284">
        <f>'Entire Trace Calc'!K284</f>
        <v>3811.7579999999998</v>
      </c>
    </row>
    <row r="285" spans="1:1" x14ac:dyDescent="0.2">
      <c r="A285">
        <f>'Entire Trace Calc'!K285</f>
        <v>3727.808</v>
      </c>
    </row>
    <row r="286" spans="1:1" x14ac:dyDescent="0.2">
      <c r="A286">
        <f>'Entire Trace Calc'!K286</f>
        <v>3663.3789999999999</v>
      </c>
    </row>
    <row r="287" spans="1:1" x14ac:dyDescent="0.2">
      <c r="A287">
        <f>'Entire Trace Calc'!K287</f>
        <v>3619.8620000000001</v>
      </c>
    </row>
    <row r="288" spans="1:1" x14ac:dyDescent="0.2">
      <c r="A288">
        <f>'Entire Trace Calc'!K288</f>
        <v>3638.6329999999998</v>
      </c>
    </row>
    <row r="289" spans="1:1" x14ac:dyDescent="0.2">
      <c r="A289">
        <f>'Entire Trace Calc'!K289</f>
        <v>3652.627</v>
      </c>
    </row>
    <row r="290" spans="1:1" x14ac:dyDescent="0.2">
      <c r="A290">
        <f>'Entire Trace Calc'!K290</f>
        <v>3600.9079999999999</v>
      </c>
    </row>
    <row r="291" spans="1:1" x14ac:dyDescent="0.2">
      <c r="A291">
        <f>'Entire Trace Calc'!K291</f>
        <v>3529.3020000000001</v>
      </c>
    </row>
    <row r="292" spans="1:1" x14ac:dyDescent="0.2">
      <c r="A292">
        <f>'Entire Trace Calc'!K292</f>
        <v>3484.1109999999999</v>
      </c>
    </row>
    <row r="293" spans="1:1" x14ac:dyDescent="0.2">
      <c r="A293">
        <f>'Entire Trace Calc'!K293</f>
        <v>3365.7179999999998</v>
      </c>
    </row>
    <row r="294" spans="1:1" x14ac:dyDescent="0.2">
      <c r="A294">
        <f>'Entire Trace Calc'!K294</f>
        <v>3213.2629999999999</v>
      </c>
    </row>
    <row r="295" spans="1:1" x14ac:dyDescent="0.2">
      <c r="A295">
        <f>'Entire Trace Calc'!K295</f>
        <v>3124.547</v>
      </c>
    </row>
    <row r="296" spans="1:1" x14ac:dyDescent="0.2">
      <c r="A296">
        <f>'Entire Trace Calc'!K296</f>
        <v>3110.5859999999998</v>
      </c>
    </row>
    <row r="297" spans="1:1" x14ac:dyDescent="0.2">
      <c r="A297">
        <f>'Entire Trace Calc'!K297</f>
        <v>3126.4110000000001</v>
      </c>
    </row>
    <row r="298" spans="1:1" x14ac:dyDescent="0.2">
      <c r="A298">
        <f>'Entire Trace Calc'!K298</f>
        <v>3342.9319999999998</v>
      </c>
    </row>
    <row r="299" spans="1:1" x14ac:dyDescent="0.2">
      <c r="A299">
        <f>'Entire Trace Calc'!K299</f>
        <v>3902.4769999999999</v>
      </c>
    </row>
    <row r="300" spans="1:1" x14ac:dyDescent="0.2">
      <c r="A300">
        <f>'Entire Trace Calc'!K300</f>
        <v>4126.6049999999996</v>
      </c>
    </row>
    <row r="301" spans="1:1" x14ac:dyDescent="0.2">
      <c r="A301">
        <f>'Entire Trace Calc'!K301</f>
        <v>4242.1620000000003</v>
      </c>
    </row>
    <row r="302" spans="1:1" x14ac:dyDescent="0.2">
      <c r="A302">
        <f>'Entire Trace Calc'!K302</f>
        <v>4328.3410000000003</v>
      </c>
    </row>
    <row r="303" spans="1:1" x14ac:dyDescent="0.2">
      <c r="A303">
        <f>'Entire Trace Calc'!K303</f>
        <v>4308.6099999999997</v>
      </c>
    </row>
    <row r="304" spans="1:1" x14ac:dyDescent="0.2">
      <c r="A304">
        <f>'Entire Trace Calc'!K304</f>
        <v>4249.1499999999996</v>
      </c>
    </row>
    <row r="305" spans="1:1" x14ac:dyDescent="0.2">
      <c r="A305">
        <f>'Entire Trace Calc'!K305</f>
        <v>4232.4769999999999</v>
      </c>
    </row>
    <row r="306" spans="1:1" x14ac:dyDescent="0.2">
      <c r="A306">
        <f>'Entire Trace Calc'!K306</f>
        <v>4215.2309999999998</v>
      </c>
    </row>
    <row r="307" spans="1:1" x14ac:dyDescent="0.2">
      <c r="A307">
        <f>'Entire Trace Calc'!K307</f>
        <v>4157.3789999999999</v>
      </c>
    </row>
    <row r="308" spans="1:1" x14ac:dyDescent="0.2">
      <c r="A308">
        <f>'Entire Trace Calc'!K308</f>
        <v>4140.3549999999996</v>
      </c>
    </row>
    <row r="309" spans="1:1" x14ac:dyDescent="0.2">
      <c r="A309">
        <f>'Entire Trace Calc'!K309</f>
        <v>4150.8419999999996</v>
      </c>
    </row>
    <row r="310" spans="1:1" x14ac:dyDescent="0.2">
      <c r="A310">
        <f>'Entire Trace Calc'!K310</f>
        <v>4124.598</v>
      </c>
    </row>
    <row r="311" spans="1:1" x14ac:dyDescent="0.2">
      <c r="A311">
        <f>'Entire Trace Calc'!K311</f>
        <v>4051.5749999999998</v>
      </c>
    </row>
    <row r="312" spans="1:1" x14ac:dyDescent="0.2">
      <c r="A312">
        <f>'Entire Trace Calc'!K312</f>
        <v>3979.5830000000001</v>
      </c>
    </row>
    <row r="313" spans="1:1" x14ac:dyDescent="0.2">
      <c r="A313">
        <f>'Entire Trace Calc'!K313</f>
        <v>3933.163</v>
      </c>
    </row>
    <row r="314" spans="1:1" x14ac:dyDescent="0.2">
      <c r="A314">
        <f>'Entire Trace Calc'!K314</f>
        <v>3885.8560000000002</v>
      </c>
    </row>
    <row r="315" spans="1:1" x14ac:dyDescent="0.2">
      <c r="A315">
        <f>'Entire Trace Calc'!K315</f>
        <v>3852.8429999999998</v>
      </c>
    </row>
    <row r="316" spans="1:1" x14ac:dyDescent="0.2">
      <c r="A316">
        <f>'Entire Trace Calc'!K316</f>
        <v>3859.8789999999999</v>
      </c>
    </row>
    <row r="317" spans="1:1" x14ac:dyDescent="0.2">
      <c r="A317">
        <f>'Entire Trace Calc'!K317</f>
        <v>3831.5369999999998</v>
      </c>
    </row>
    <row r="318" spans="1:1" x14ac:dyDescent="0.2">
      <c r="A318">
        <f>'Entire Trace Calc'!K318</f>
        <v>3844.4639999999999</v>
      </c>
    </row>
    <row r="319" spans="1:1" x14ac:dyDescent="0.2">
      <c r="A319">
        <f>'Entire Trace Calc'!K319</f>
        <v>3855.3119999999999</v>
      </c>
    </row>
    <row r="320" spans="1:1" x14ac:dyDescent="0.2">
      <c r="A320">
        <f>'Entire Trace Calc'!K320</f>
        <v>3891.047</v>
      </c>
    </row>
    <row r="321" spans="1:1" x14ac:dyDescent="0.2">
      <c r="A321">
        <f>'Entire Trace Calc'!K321</f>
        <v>3897.3589999999999</v>
      </c>
    </row>
    <row r="322" spans="1:1" x14ac:dyDescent="0.2">
      <c r="A322">
        <f>'Entire Trace Calc'!K322</f>
        <v>3916.8389999999999</v>
      </c>
    </row>
    <row r="323" spans="1:1" x14ac:dyDescent="0.2">
      <c r="A323">
        <f>'Entire Trace Calc'!K323</f>
        <v>3898.7109999999998</v>
      </c>
    </row>
    <row r="324" spans="1:1" x14ac:dyDescent="0.2">
      <c r="A324">
        <f>'Entire Trace Calc'!K324</f>
        <v>3857.0909999999999</v>
      </c>
    </row>
    <row r="325" spans="1:1" x14ac:dyDescent="0.2">
      <c r="A325">
        <f>'Entire Trace Calc'!K325</f>
        <v>3778.43</v>
      </c>
    </row>
    <row r="326" spans="1:1" x14ac:dyDescent="0.2">
      <c r="A326">
        <f>'Entire Trace Calc'!K326</f>
        <v>3686.518</v>
      </c>
    </row>
    <row r="327" spans="1:1" x14ac:dyDescent="0.2">
      <c r="A327">
        <f>'Entire Trace Calc'!K327</f>
        <v>3633.4450000000002</v>
      </c>
    </row>
    <row r="328" spans="1:1" x14ac:dyDescent="0.2">
      <c r="A328">
        <f>'Entire Trace Calc'!K328</f>
        <v>3609.4009999999998</v>
      </c>
    </row>
    <row r="329" spans="1:1" x14ac:dyDescent="0.2">
      <c r="A329">
        <f>'Entire Trace Calc'!K329</f>
        <v>3606.692</v>
      </c>
    </row>
    <row r="330" spans="1:1" x14ac:dyDescent="0.2">
      <c r="A330">
        <f>'Entire Trace Calc'!K330</f>
        <v>3561.297</v>
      </c>
    </row>
    <row r="331" spans="1:1" x14ac:dyDescent="0.2">
      <c r="A331">
        <f>'Entire Trace Calc'!K331</f>
        <v>3534.067</v>
      </c>
    </row>
    <row r="332" spans="1:1" x14ac:dyDescent="0.2">
      <c r="A332">
        <f>'Entire Trace Calc'!K332</f>
        <v>3480.9769999999999</v>
      </c>
    </row>
    <row r="333" spans="1:1" x14ac:dyDescent="0.2">
      <c r="A333">
        <f>'Entire Trace Calc'!K333</f>
        <v>3428.03</v>
      </c>
    </row>
    <row r="334" spans="1:1" x14ac:dyDescent="0.2">
      <c r="A334">
        <f>'Entire Trace Calc'!K334</f>
        <v>3410.0659999999998</v>
      </c>
    </row>
    <row r="335" spans="1:1" x14ac:dyDescent="0.2">
      <c r="A335">
        <f>'Entire Trace Calc'!K335</f>
        <v>3439.88</v>
      </c>
    </row>
    <row r="336" spans="1:1" x14ac:dyDescent="0.2">
      <c r="A336">
        <f>'Entire Trace Calc'!K336</f>
        <v>3424.5880000000002</v>
      </c>
    </row>
    <row r="337" spans="1:1" x14ac:dyDescent="0.2">
      <c r="A337">
        <f>'Entire Trace Calc'!K337</f>
        <v>3436.1190000000001</v>
      </c>
    </row>
    <row r="338" spans="1:1" x14ac:dyDescent="0.2">
      <c r="A338">
        <f>'Entire Trace Calc'!K338</f>
        <v>3498.85</v>
      </c>
    </row>
    <row r="339" spans="1:1" x14ac:dyDescent="0.2">
      <c r="A339">
        <f>'Entire Trace Calc'!K339</f>
        <v>3561.2860000000001</v>
      </c>
    </row>
    <row r="340" spans="1:1" x14ac:dyDescent="0.2">
      <c r="A340">
        <f>'Entire Trace Calc'!K340</f>
        <v>3603.6329999999998</v>
      </c>
    </row>
    <row r="341" spans="1:1" x14ac:dyDescent="0.2">
      <c r="A341">
        <f>'Entire Trace Calc'!K341</f>
        <v>3646.65</v>
      </c>
    </row>
    <row r="342" spans="1:1" x14ac:dyDescent="0.2">
      <c r="A342">
        <f>'Entire Trace Calc'!K342</f>
        <v>3713.855</v>
      </c>
    </row>
    <row r="343" spans="1:1" x14ac:dyDescent="0.2">
      <c r="A343">
        <f>'Entire Trace Calc'!K343</f>
        <v>3756.172</v>
      </c>
    </row>
    <row r="344" spans="1:1" x14ac:dyDescent="0.2">
      <c r="A344">
        <f>'Entire Trace Calc'!K344</f>
        <v>3796.509</v>
      </c>
    </row>
    <row r="345" spans="1:1" x14ac:dyDescent="0.2">
      <c r="A345">
        <f>'Entire Trace Calc'!K345</f>
        <v>3798.9110000000001</v>
      </c>
    </row>
    <row r="346" spans="1:1" x14ac:dyDescent="0.2">
      <c r="A346">
        <f>'Entire Trace Calc'!K346</f>
        <v>3795.0070000000001</v>
      </c>
    </row>
    <row r="347" spans="1:1" x14ac:dyDescent="0.2">
      <c r="A347">
        <f>'Entire Trace Calc'!K347</f>
        <v>3792.4369999999999</v>
      </c>
    </row>
    <row r="348" spans="1:1" x14ac:dyDescent="0.2">
      <c r="A348">
        <f>'Entire Trace Calc'!K348</f>
        <v>3767.1469999999999</v>
      </c>
    </row>
    <row r="349" spans="1:1" x14ac:dyDescent="0.2">
      <c r="A349">
        <f>'Entire Trace Calc'!K349</f>
        <v>3750.692</v>
      </c>
    </row>
    <row r="350" spans="1:1" x14ac:dyDescent="0.2">
      <c r="A350">
        <f>'Entire Trace Calc'!K350</f>
        <v>3732.1840000000002</v>
      </c>
    </row>
    <row r="351" spans="1:1" x14ac:dyDescent="0.2">
      <c r="A351">
        <f>'Entire Trace Calc'!K351</f>
        <v>3677.1060000000002</v>
      </c>
    </row>
    <row r="352" spans="1:1" x14ac:dyDescent="0.2">
      <c r="A352">
        <f>'Entire Trace Calc'!K352</f>
        <v>3708.212</v>
      </c>
    </row>
    <row r="353" spans="1:1" x14ac:dyDescent="0.2">
      <c r="A353">
        <f>'Entire Trace Calc'!K353</f>
        <v>3750.6529999999998</v>
      </c>
    </row>
    <row r="354" spans="1:1" x14ac:dyDescent="0.2">
      <c r="A354">
        <f>'Entire Trace Calc'!K354</f>
        <v>3709.4470000000001</v>
      </c>
    </row>
    <row r="355" spans="1:1" x14ac:dyDescent="0.2">
      <c r="A355">
        <f>'Entire Trace Calc'!K355</f>
        <v>3623.0929999999998</v>
      </c>
    </row>
    <row r="356" spans="1:1" x14ac:dyDescent="0.2">
      <c r="A356">
        <f>'Entire Trace Calc'!K356</f>
        <v>3499.0859999999998</v>
      </c>
    </row>
    <row r="357" spans="1:1" x14ac:dyDescent="0.2">
      <c r="A357">
        <f>'Entire Trace Calc'!K357</f>
        <v>3438.6970000000001</v>
      </c>
    </row>
    <row r="358" spans="1:1" x14ac:dyDescent="0.2">
      <c r="A358">
        <f>'Entire Trace Calc'!K358</f>
        <v>3409.4389999999999</v>
      </c>
    </row>
    <row r="359" spans="1:1" x14ac:dyDescent="0.2">
      <c r="A359">
        <f>'Entire Trace Calc'!K359</f>
        <v>3386.1170000000002</v>
      </c>
    </row>
    <row r="360" spans="1:1" x14ac:dyDescent="0.2">
      <c r="A360">
        <f>'Entire Trace Calc'!K360</f>
        <v>3388.857</v>
      </c>
    </row>
    <row r="361" spans="1:1" x14ac:dyDescent="0.2">
      <c r="A361">
        <f>'Entire Trace Calc'!K361</f>
        <v>3377.451</v>
      </c>
    </row>
    <row r="362" spans="1:1" x14ac:dyDescent="0.2">
      <c r="A362">
        <f>'Entire Trace Calc'!K362</f>
        <v>3355.596</v>
      </c>
    </row>
    <row r="363" spans="1:1" x14ac:dyDescent="0.2">
      <c r="A363">
        <f>'Entire Trace Calc'!K363</f>
        <v>3357.0549999999998</v>
      </c>
    </row>
    <row r="364" spans="1:1" x14ac:dyDescent="0.2">
      <c r="A364">
        <f>'Entire Trace Calc'!K364</f>
        <v>3366.2579999999998</v>
      </c>
    </row>
    <row r="365" spans="1:1" x14ac:dyDescent="0.2">
      <c r="A365">
        <f>'Entire Trace Calc'!K365</f>
        <v>3368.0680000000002</v>
      </c>
    </row>
    <row r="366" spans="1:1" x14ac:dyDescent="0.2">
      <c r="A366">
        <f>'Entire Trace Calc'!K366</f>
        <v>3349.1680000000001</v>
      </c>
    </row>
    <row r="367" spans="1:1" x14ac:dyDescent="0.2">
      <c r="A367">
        <f>'Entire Trace Calc'!K367</f>
        <v>3379.9070000000002</v>
      </c>
    </row>
    <row r="368" spans="1:1" x14ac:dyDescent="0.2">
      <c r="A368">
        <f>'Entire Trace Calc'!K368</f>
        <v>3424.54</v>
      </c>
    </row>
    <row r="369" spans="1:1" x14ac:dyDescent="0.2">
      <c r="A369">
        <f>'Entire Trace Calc'!K369</f>
        <v>3420.04</v>
      </c>
    </row>
    <row r="370" spans="1:1" x14ac:dyDescent="0.2">
      <c r="A370">
        <f>'Entire Trace Calc'!K370</f>
        <v>3398.1039999999998</v>
      </c>
    </row>
    <row r="371" spans="1:1" x14ac:dyDescent="0.2">
      <c r="A371">
        <f>'Entire Trace Calc'!K371</f>
        <v>3366.799</v>
      </c>
    </row>
    <row r="372" spans="1:1" x14ac:dyDescent="0.2">
      <c r="A372">
        <f>'Entire Trace Calc'!K372</f>
        <v>3318.904</v>
      </c>
    </row>
    <row r="373" spans="1:1" x14ac:dyDescent="0.2">
      <c r="A373">
        <f>'Entire Trace Calc'!K373</f>
        <v>3270.7660000000001</v>
      </c>
    </row>
    <row r="374" spans="1:1" x14ac:dyDescent="0.2">
      <c r="A374">
        <f>'Entire Trace Calc'!K374</f>
        <v>3219.9989999999998</v>
      </c>
    </row>
    <row r="375" spans="1:1" x14ac:dyDescent="0.2">
      <c r="A375">
        <f>'Entire Trace Calc'!K375</f>
        <v>3181.8649999999998</v>
      </c>
    </row>
    <row r="376" spans="1:1" x14ac:dyDescent="0.2">
      <c r="A376">
        <f>'Entire Trace Calc'!K376</f>
        <v>3143.116</v>
      </c>
    </row>
    <row r="377" spans="1:1" x14ac:dyDescent="0.2">
      <c r="A377">
        <f>'Entire Trace Calc'!K377</f>
        <v>3177.8719999999998</v>
      </c>
    </row>
    <row r="378" spans="1:1" x14ac:dyDescent="0.2">
      <c r="A378">
        <f>'Entire Trace Calc'!K378</f>
        <v>3187.14</v>
      </c>
    </row>
    <row r="379" spans="1:1" x14ac:dyDescent="0.2">
      <c r="A379">
        <f>'Entire Trace Calc'!K379</f>
        <v>3165.7289999999998</v>
      </c>
    </row>
    <row r="380" spans="1:1" x14ac:dyDescent="0.2">
      <c r="A380">
        <f>'Entire Trace Calc'!K380</f>
        <v>3115.33</v>
      </c>
    </row>
    <row r="381" spans="1:1" x14ac:dyDescent="0.2">
      <c r="A381">
        <f>'Entire Trace Calc'!K381</f>
        <v>3084.8989999999999</v>
      </c>
    </row>
    <row r="382" spans="1:1" x14ac:dyDescent="0.2">
      <c r="A382">
        <f>'Entire Trace Calc'!K382</f>
        <v>3016.6909999999998</v>
      </c>
    </row>
    <row r="383" spans="1:1" x14ac:dyDescent="0.2">
      <c r="A383">
        <f>'Entire Trace Calc'!K383</f>
        <v>2931.7289999999998</v>
      </c>
    </row>
    <row r="384" spans="1:1" x14ac:dyDescent="0.2">
      <c r="A384">
        <f>'Entire Trace Calc'!K384</f>
        <v>2895.4009999999998</v>
      </c>
    </row>
    <row r="385" spans="1:1" x14ac:dyDescent="0.2">
      <c r="A385">
        <f>'Entire Trace Calc'!K385</f>
        <v>2909.1979999999999</v>
      </c>
    </row>
    <row r="386" spans="1:1" x14ac:dyDescent="0.2">
      <c r="A386">
        <f>'Entire Trace Calc'!K386</f>
        <v>2911.57</v>
      </c>
    </row>
    <row r="387" spans="1:1" x14ac:dyDescent="0.2">
      <c r="A387">
        <f>'Entire Trace Calc'!K387</f>
        <v>2923.43</v>
      </c>
    </row>
    <row r="388" spans="1:1" x14ac:dyDescent="0.2">
      <c r="A388">
        <f>'Entire Trace Calc'!K388</f>
        <v>3055.7139999999999</v>
      </c>
    </row>
    <row r="389" spans="1:1" x14ac:dyDescent="0.2">
      <c r="A389">
        <f>'Entire Trace Calc'!K389</f>
        <v>3304.6170000000002</v>
      </c>
    </row>
    <row r="390" spans="1:1" x14ac:dyDescent="0.2">
      <c r="A390">
        <f>'Entire Trace Calc'!K390</f>
        <v>3429.393</v>
      </c>
    </row>
    <row r="391" spans="1:1" x14ac:dyDescent="0.2">
      <c r="A391">
        <f>'Entire Trace Calc'!K391</f>
        <v>3458.8879999999999</v>
      </c>
    </row>
    <row r="392" spans="1:1" x14ac:dyDescent="0.2">
      <c r="A392">
        <f>'Entire Trace Calc'!K392</f>
        <v>3397.0830000000001</v>
      </c>
    </row>
    <row r="393" spans="1:1" x14ac:dyDescent="0.2">
      <c r="A393">
        <f>'Entire Trace Calc'!K393</f>
        <v>3344.857</v>
      </c>
    </row>
    <row r="394" spans="1:1" x14ac:dyDescent="0.2">
      <c r="A394">
        <f>'Entire Trace Calc'!K394</f>
        <v>3294.9740000000002</v>
      </c>
    </row>
    <row r="395" spans="1:1" x14ac:dyDescent="0.2">
      <c r="A395">
        <f>'Entire Trace Calc'!K395</f>
        <v>3173.8510000000001</v>
      </c>
    </row>
    <row r="396" spans="1:1" x14ac:dyDescent="0.2">
      <c r="A396">
        <f>'Entire Trace Calc'!K396</f>
        <v>3021.5210000000002</v>
      </c>
    </row>
    <row r="397" spans="1:1" x14ac:dyDescent="0.2">
      <c r="A397">
        <f>'Entire Trace Calc'!K397</f>
        <v>3082.9540000000002</v>
      </c>
    </row>
    <row r="398" spans="1:1" x14ac:dyDescent="0.2">
      <c r="A398">
        <f>'Entire Trace Calc'!K398</f>
        <v>3467.7289999999998</v>
      </c>
    </row>
    <row r="399" spans="1:1" x14ac:dyDescent="0.2">
      <c r="A399">
        <f>'Entire Trace Calc'!K399</f>
        <v>3593.9229999999998</v>
      </c>
    </row>
    <row r="400" spans="1:1" x14ac:dyDescent="0.2">
      <c r="A400">
        <f>'Entire Trace Calc'!K400</f>
        <v>3591.5360000000001</v>
      </c>
    </row>
    <row r="401" spans="1:1" x14ac:dyDescent="0.2">
      <c r="A401">
        <f>'Entire Trace Calc'!K401</f>
        <v>3596.4180000000001</v>
      </c>
    </row>
    <row r="402" spans="1:1" x14ac:dyDescent="0.2">
      <c r="A402">
        <f>'Entire Trace Calc'!K402</f>
        <v>3586.1370000000002</v>
      </c>
    </row>
    <row r="403" spans="1:1" x14ac:dyDescent="0.2">
      <c r="A403">
        <f>'Entire Trace Calc'!K403</f>
        <v>3524.9079999999999</v>
      </c>
    </row>
    <row r="404" spans="1:1" x14ac:dyDescent="0.2">
      <c r="A404">
        <f>'Entire Trace Calc'!K404</f>
        <v>3560.0079999999998</v>
      </c>
    </row>
    <row r="405" spans="1:1" x14ac:dyDescent="0.2">
      <c r="A405">
        <f>'Entire Trace Calc'!K405</f>
        <v>3697.6350000000002</v>
      </c>
    </row>
    <row r="406" spans="1:1" x14ac:dyDescent="0.2">
      <c r="A406">
        <f>'Entire Trace Calc'!K406</f>
        <v>3867.9920000000002</v>
      </c>
    </row>
    <row r="407" spans="1:1" x14ac:dyDescent="0.2">
      <c r="A407">
        <f>'Entire Trace Calc'!K407</f>
        <v>3934.2739999999999</v>
      </c>
    </row>
    <row r="408" spans="1:1" x14ac:dyDescent="0.2">
      <c r="A408">
        <f>'Entire Trace Calc'!K408</f>
        <v>3925.913</v>
      </c>
    </row>
    <row r="409" spans="1:1" x14ac:dyDescent="0.2">
      <c r="A409">
        <f>'Entire Trace Calc'!K409</f>
        <v>3897.3960000000002</v>
      </c>
    </row>
    <row r="410" spans="1:1" x14ac:dyDescent="0.2">
      <c r="A410">
        <f>'Entire Trace Calc'!K410</f>
        <v>3892.7869999999998</v>
      </c>
    </row>
    <row r="411" spans="1:1" x14ac:dyDescent="0.2">
      <c r="A411">
        <f>'Entire Trace Calc'!K411</f>
        <v>3842.93</v>
      </c>
    </row>
    <row r="412" spans="1:1" x14ac:dyDescent="0.2">
      <c r="A412">
        <f>'Entire Trace Calc'!K412</f>
        <v>3818.19</v>
      </c>
    </row>
    <row r="413" spans="1:1" x14ac:dyDescent="0.2">
      <c r="A413">
        <f>'Entire Trace Calc'!K413</f>
        <v>3789.4059999999999</v>
      </c>
    </row>
    <row r="414" spans="1:1" x14ac:dyDescent="0.2">
      <c r="A414">
        <f>'Entire Trace Calc'!K414</f>
        <v>3690.8380000000002</v>
      </c>
    </row>
    <row r="415" spans="1:1" x14ac:dyDescent="0.2">
      <c r="A415">
        <f>'Entire Trace Calc'!K415</f>
        <v>3591.6019999999999</v>
      </c>
    </row>
    <row r="416" spans="1:1" x14ac:dyDescent="0.2">
      <c r="A416">
        <f>'Entire Trace Calc'!K416</f>
        <v>3569.1309999999999</v>
      </c>
    </row>
    <row r="417" spans="1:1" x14ac:dyDescent="0.2">
      <c r="A417">
        <f>'Entire Trace Calc'!K417</f>
        <v>3551.3470000000002</v>
      </c>
    </row>
    <row r="418" spans="1:1" x14ac:dyDescent="0.2">
      <c r="A418">
        <f>'Entire Trace Calc'!K418</f>
        <v>3477.7020000000002</v>
      </c>
    </row>
    <row r="419" spans="1:1" x14ac:dyDescent="0.2">
      <c r="A419">
        <f>'Entire Trace Calc'!K419</f>
        <v>3367.3220000000001</v>
      </c>
    </row>
    <row r="420" spans="1:1" x14ac:dyDescent="0.2">
      <c r="A420">
        <f>'Entire Trace Calc'!K420</f>
        <v>3257.0529999999999</v>
      </c>
    </row>
    <row r="421" spans="1:1" x14ac:dyDescent="0.2">
      <c r="A421">
        <f>'Entire Trace Calc'!K421</f>
        <v>3177.569</v>
      </c>
    </row>
    <row r="422" spans="1:1" x14ac:dyDescent="0.2">
      <c r="A422">
        <f>'Entire Trace Calc'!K422</f>
        <v>3205.2089999999998</v>
      </c>
    </row>
    <row r="423" spans="1:1" x14ac:dyDescent="0.2">
      <c r="A423">
        <f>'Entire Trace Calc'!K423</f>
        <v>3347.03</v>
      </c>
    </row>
    <row r="424" spans="1:1" x14ac:dyDescent="0.2">
      <c r="A424">
        <f>'Entire Trace Calc'!K424</f>
        <v>3476.3249999999998</v>
      </c>
    </row>
    <row r="425" spans="1:1" x14ac:dyDescent="0.2">
      <c r="A425">
        <f>'Entire Trace Calc'!K425</f>
        <v>3564.951</v>
      </c>
    </row>
    <row r="426" spans="1:1" x14ac:dyDescent="0.2">
      <c r="A426">
        <f>'Entire Trace Calc'!K426</f>
        <v>3566.3180000000002</v>
      </c>
    </row>
    <row r="427" spans="1:1" x14ac:dyDescent="0.2">
      <c r="A427">
        <f>'Entire Trace Calc'!K427</f>
        <v>3551.6909999999998</v>
      </c>
    </row>
    <row r="428" spans="1:1" x14ac:dyDescent="0.2">
      <c r="A428">
        <f>'Entire Trace Calc'!K428</f>
        <v>3542.7759999999998</v>
      </c>
    </row>
    <row r="429" spans="1:1" x14ac:dyDescent="0.2">
      <c r="A429">
        <f>'Entire Trace Calc'!K429</f>
        <v>3475.55</v>
      </c>
    </row>
    <row r="430" spans="1:1" x14ac:dyDescent="0.2">
      <c r="A430">
        <f>'Entire Trace Calc'!K430</f>
        <v>3423.1120000000001</v>
      </c>
    </row>
    <row r="431" spans="1:1" x14ac:dyDescent="0.2">
      <c r="A431">
        <f>'Entire Trace Calc'!K431</f>
        <v>3385.9769999999999</v>
      </c>
    </row>
    <row r="432" spans="1:1" x14ac:dyDescent="0.2">
      <c r="A432">
        <f>'Entire Trace Calc'!K432</f>
        <v>3393.1860000000001</v>
      </c>
    </row>
    <row r="433" spans="1:1" x14ac:dyDescent="0.2">
      <c r="A433">
        <f>'Entire Trace Calc'!K433</f>
        <v>3415.576</v>
      </c>
    </row>
    <row r="434" spans="1:1" x14ac:dyDescent="0.2">
      <c r="A434">
        <f>'Entire Trace Calc'!K434</f>
        <v>3392.47</v>
      </c>
    </row>
    <row r="435" spans="1:1" x14ac:dyDescent="0.2">
      <c r="A435">
        <f>'Entire Trace Calc'!K435</f>
        <v>3349.7579999999998</v>
      </c>
    </row>
    <row r="436" spans="1:1" x14ac:dyDescent="0.2">
      <c r="A436">
        <f>'Entire Trace Calc'!K436</f>
        <v>3291.2089999999998</v>
      </c>
    </row>
    <row r="437" spans="1:1" x14ac:dyDescent="0.2">
      <c r="A437">
        <f>'Entire Trace Calc'!K437</f>
        <v>3292.84</v>
      </c>
    </row>
    <row r="438" spans="1:1" x14ac:dyDescent="0.2">
      <c r="A438">
        <f>'Entire Trace Calc'!K438</f>
        <v>3325.5659999999998</v>
      </c>
    </row>
    <row r="439" spans="1:1" x14ac:dyDescent="0.2">
      <c r="A439">
        <f>'Entire Trace Calc'!K439</f>
        <v>3325.6529999999998</v>
      </c>
    </row>
    <row r="440" spans="1:1" x14ac:dyDescent="0.2">
      <c r="A440">
        <f>'Entire Trace Calc'!K440</f>
        <v>3307.8710000000001</v>
      </c>
    </row>
    <row r="441" spans="1:1" x14ac:dyDescent="0.2">
      <c r="A441">
        <f>'Entire Trace Calc'!K441</f>
        <v>3298.837</v>
      </c>
    </row>
    <row r="442" spans="1:1" x14ac:dyDescent="0.2">
      <c r="A442">
        <f>'Entire Trace Calc'!K442</f>
        <v>3233.3359999999998</v>
      </c>
    </row>
    <row r="443" spans="1:1" x14ac:dyDescent="0.2">
      <c r="A443">
        <f>'Entire Trace Calc'!K443</f>
        <v>3167.8009999999999</v>
      </c>
    </row>
    <row r="444" spans="1:1" x14ac:dyDescent="0.2">
      <c r="A444">
        <f>'Entire Trace Calc'!K444</f>
        <v>3125.1709999999998</v>
      </c>
    </row>
    <row r="445" spans="1:1" x14ac:dyDescent="0.2">
      <c r="A445">
        <f>'Entire Trace Calc'!K445</f>
        <v>3076.2660000000001</v>
      </c>
    </row>
    <row r="446" spans="1:1" x14ac:dyDescent="0.2">
      <c r="A446">
        <f>'Entire Trace Calc'!K446</f>
        <v>2968.45</v>
      </c>
    </row>
    <row r="447" spans="1:1" x14ac:dyDescent="0.2">
      <c r="A447">
        <f>'Entire Trace Calc'!K447</f>
        <v>2843.0360000000001</v>
      </c>
    </row>
    <row r="448" spans="1:1" x14ac:dyDescent="0.2">
      <c r="A448">
        <f>'Entire Trace Calc'!K448</f>
        <v>2718.1729999999998</v>
      </c>
    </row>
    <row r="449" spans="1:1" x14ac:dyDescent="0.2">
      <c r="A449">
        <f>'Entire Trace Calc'!K449</f>
        <v>2575.4340000000002</v>
      </c>
    </row>
    <row r="450" spans="1:1" x14ac:dyDescent="0.2">
      <c r="A450">
        <f>'Entire Trace Calc'!K450</f>
        <v>2458.1439999999998</v>
      </c>
    </row>
    <row r="451" spans="1:1" x14ac:dyDescent="0.2">
      <c r="A451">
        <f>'Entire Trace Calc'!K451</f>
        <v>2373.1640000000002</v>
      </c>
    </row>
    <row r="452" spans="1:1" x14ac:dyDescent="0.2">
      <c r="A452">
        <f>'Entire Trace Calc'!K452</f>
        <v>2318.4520000000002</v>
      </c>
    </row>
    <row r="453" spans="1:1" x14ac:dyDescent="0.2">
      <c r="A453">
        <f>'Entire Trace Calc'!K453</f>
        <v>2267.1570000000002</v>
      </c>
    </row>
    <row r="454" spans="1:1" x14ac:dyDescent="0.2">
      <c r="A454">
        <f>'Entire Trace Calc'!K454</f>
        <v>2213.549</v>
      </c>
    </row>
    <row r="455" spans="1:1" x14ac:dyDescent="0.2">
      <c r="A455">
        <f>'Entire Trace Calc'!K455</f>
        <v>2146.1640000000002</v>
      </c>
    </row>
    <row r="456" spans="1:1" x14ac:dyDescent="0.2">
      <c r="A456">
        <f>'Entire Trace Calc'!K456</f>
        <v>2035.0309999999999</v>
      </c>
    </row>
    <row r="457" spans="1:1" x14ac:dyDescent="0.2">
      <c r="A457">
        <f>'Entire Trace Calc'!K457</f>
        <v>1914.327</v>
      </c>
    </row>
    <row r="458" spans="1:1" x14ac:dyDescent="0.2">
      <c r="A458">
        <f>'Entire Trace Calc'!K458</f>
        <v>2001.403</v>
      </c>
    </row>
    <row r="459" spans="1:1" x14ac:dyDescent="0.2">
      <c r="A459">
        <f>'Entire Trace Calc'!K459</f>
        <v>2411.2339999999999</v>
      </c>
    </row>
    <row r="460" spans="1:1" x14ac:dyDescent="0.2">
      <c r="A460">
        <f>'Entire Trace Calc'!K460</f>
        <v>2920.8829999999998</v>
      </c>
    </row>
    <row r="461" spans="1:1" x14ac:dyDescent="0.2">
      <c r="A461">
        <f>'Entire Trace Calc'!K461</f>
        <v>3319.8150000000001</v>
      </c>
    </row>
    <row r="462" spans="1:1" x14ac:dyDescent="0.2">
      <c r="A462">
        <f>'Entire Trace Calc'!K462</f>
        <v>3577.4229999999998</v>
      </c>
    </row>
    <row r="463" spans="1:1" x14ac:dyDescent="0.2">
      <c r="A463">
        <f>'Entire Trace Calc'!K463</f>
        <v>3716.489</v>
      </c>
    </row>
    <row r="464" spans="1:1" x14ac:dyDescent="0.2">
      <c r="A464">
        <f>'Entire Trace Calc'!K464</f>
        <v>3794.8760000000002</v>
      </c>
    </row>
    <row r="465" spans="1:1" x14ac:dyDescent="0.2">
      <c r="A465">
        <f>'Entire Trace Calc'!K465</f>
        <v>3799.3380000000002</v>
      </c>
    </row>
    <row r="466" spans="1:1" x14ac:dyDescent="0.2">
      <c r="A466">
        <f>'Entire Trace Calc'!K466</f>
        <v>3777.0929999999998</v>
      </c>
    </row>
    <row r="467" spans="1:1" x14ac:dyDescent="0.2">
      <c r="A467">
        <f>'Entire Trace Calc'!K467</f>
        <v>3744.873</v>
      </c>
    </row>
    <row r="468" spans="1:1" x14ac:dyDescent="0.2">
      <c r="A468">
        <f>'Entire Trace Calc'!K468</f>
        <v>3709.7910000000002</v>
      </c>
    </row>
    <row r="469" spans="1:1" x14ac:dyDescent="0.2">
      <c r="A469">
        <f>'Entire Trace Calc'!K469</f>
        <v>3665.0749999999998</v>
      </c>
    </row>
    <row r="470" spans="1:1" x14ac:dyDescent="0.2">
      <c r="A470">
        <f>'Entire Trace Calc'!K470</f>
        <v>3594.654</v>
      </c>
    </row>
    <row r="471" spans="1:1" x14ac:dyDescent="0.2">
      <c r="A471">
        <f>'Entire Trace Calc'!K471</f>
        <v>3511.4349999999999</v>
      </c>
    </row>
    <row r="472" spans="1:1" x14ac:dyDescent="0.2">
      <c r="A472">
        <f>'Entire Trace Calc'!K472</f>
        <v>3452.5439999999999</v>
      </c>
    </row>
    <row r="473" spans="1:1" x14ac:dyDescent="0.2">
      <c r="A473">
        <f>'Entire Trace Calc'!K473</f>
        <v>3466.47</v>
      </c>
    </row>
    <row r="474" spans="1:1" x14ac:dyDescent="0.2">
      <c r="A474">
        <f>'Entire Trace Calc'!K474</f>
        <v>3492.6190000000001</v>
      </c>
    </row>
    <row r="475" spans="1:1" x14ac:dyDescent="0.2">
      <c r="A475">
        <f>'Entire Trace Calc'!K475</f>
        <v>3499.0349999999999</v>
      </c>
    </row>
    <row r="476" spans="1:1" x14ac:dyDescent="0.2">
      <c r="A476">
        <f>'Entire Trace Calc'!K476</f>
        <v>3526.299</v>
      </c>
    </row>
    <row r="477" spans="1:1" x14ac:dyDescent="0.2">
      <c r="A477">
        <f>'Entire Trace Calc'!K477</f>
        <v>3544.123</v>
      </c>
    </row>
    <row r="478" spans="1:1" x14ac:dyDescent="0.2">
      <c r="A478">
        <f>'Entire Trace Calc'!K478</f>
        <v>3489.07</v>
      </c>
    </row>
    <row r="479" spans="1:1" x14ac:dyDescent="0.2">
      <c r="A479">
        <f>'Entire Trace Calc'!K479</f>
        <v>3448.0650000000001</v>
      </c>
    </row>
    <row r="480" spans="1:1" x14ac:dyDescent="0.2">
      <c r="A480">
        <f>'Entire Trace Calc'!K480</f>
        <v>3393.1289999999999</v>
      </c>
    </row>
    <row r="481" spans="1:1" x14ac:dyDescent="0.2">
      <c r="A481">
        <f>'Entire Trace Calc'!K481</f>
        <v>3334.4180000000001</v>
      </c>
    </row>
    <row r="482" spans="1:1" x14ac:dyDescent="0.2">
      <c r="A482">
        <f>'Entire Trace Calc'!K482</f>
        <v>3310.8359999999998</v>
      </c>
    </row>
    <row r="483" spans="1:1" x14ac:dyDescent="0.2">
      <c r="A483">
        <f>'Entire Trace Calc'!K483</f>
        <v>3305.6309999999999</v>
      </c>
    </row>
    <row r="484" spans="1:1" x14ac:dyDescent="0.2">
      <c r="A484">
        <f>'Entire Trace Calc'!K484</f>
        <v>3349.4270000000001</v>
      </c>
    </row>
    <row r="485" spans="1:1" x14ac:dyDescent="0.2">
      <c r="A485">
        <f>'Entire Trace Calc'!K485</f>
        <v>3419.04</v>
      </c>
    </row>
    <row r="486" spans="1:1" x14ac:dyDescent="0.2">
      <c r="A486">
        <f>'Entire Trace Calc'!K486</f>
        <v>3417.5259999999998</v>
      </c>
    </row>
    <row r="487" spans="1:1" x14ac:dyDescent="0.2">
      <c r="A487">
        <f>'Entire Trace Calc'!K487</f>
        <v>3375.1959999999999</v>
      </c>
    </row>
    <row r="488" spans="1:1" x14ac:dyDescent="0.2">
      <c r="A488">
        <f>'Entire Trace Calc'!K488</f>
        <v>3359.2620000000002</v>
      </c>
    </row>
    <row r="489" spans="1:1" x14ac:dyDescent="0.2">
      <c r="A489">
        <f>'Entire Trace Calc'!K489</f>
        <v>3325.1680000000001</v>
      </c>
    </row>
    <row r="490" spans="1:1" x14ac:dyDescent="0.2">
      <c r="A490">
        <f>'Entire Trace Calc'!K490</f>
        <v>3293.7669999999998</v>
      </c>
    </row>
    <row r="491" spans="1:1" x14ac:dyDescent="0.2">
      <c r="A491">
        <f>'Entire Trace Calc'!K491</f>
        <v>3293.875</v>
      </c>
    </row>
    <row r="492" spans="1:1" x14ac:dyDescent="0.2">
      <c r="A492">
        <f>'Entire Trace Calc'!K492</f>
        <v>3332.1089999999999</v>
      </c>
    </row>
    <row r="493" spans="1:1" x14ac:dyDescent="0.2">
      <c r="A493">
        <f>'Entire Trace Calc'!K493</f>
        <v>3376.0590000000002</v>
      </c>
    </row>
    <row r="494" spans="1:1" x14ac:dyDescent="0.2">
      <c r="A494">
        <f>'Entire Trace Calc'!K494</f>
        <v>3375.2</v>
      </c>
    </row>
    <row r="495" spans="1:1" x14ac:dyDescent="0.2">
      <c r="A495">
        <f>'Entire Trace Calc'!K495</f>
        <v>3340.567</v>
      </c>
    </row>
    <row r="496" spans="1:1" x14ac:dyDescent="0.2">
      <c r="A496">
        <f>'Entire Trace Calc'!K496</f>
        <v>3288.5610000000001</v>
      </c>
    </row>
    <row r="497" spans="1:1" x14ac:dyDescent="0.2">
      <c r="A497">
        <f>'Entire Trace Calc'!K497</f>
        <v>3214.6840000000002</v>
      </c>
    </row>
    <row r="498" spans="1:1" x14ac:dyDescent="0.2">
      <c r="A498">
        <f>'Entire Trace Calc'!K498</f>
        <v>3111.4520000000002</v>
      </c>
    </row>
    <row r="499" spans="1:1" x14ac:dyDescent="0.2">
      <c r="A499">
        <f>'Entire Trace Calc'!K499</f>
        <v>3042.8159999999998</v>
      </c>
    </row>
    <row r="500" spans="1:1" x14ac:dyDescent="0.2">
      <c r="A500">
        <f>'Entire Trace Calc'!K500</f>
        <v>2977.4340000000002</v>
      </c>
    </row>
    <row r="501" spans="1:1" x14ac:dyDescent="0.2">
      <c r="A501">
        <f>'Entire Trace Calc'!K501</f>
        <v>2929.9989999999998</v>
      </c>
    </row>
    <row r="502" spans="1:1" x14ac:dyDescent="0.2">
      <c r="A502">
        <f>'Entire Trace Calc'!K502</f>
        <v>2875.9879999999998</v>
      </c>
    </row>
    <row r="503" spans="1:1" x14ac:dyDescent="0.2">
      <c r="A503">
        <f>'Entire Trace Calc'!K503</f>
        <v>2785.0459999999998</v>
      </c>
    </row>
    <row r="504" spans="1:1" x14ac:dyDescent="0.2">
      <c r="A504">
        <f>'Entire Trace Calc'!K504</f>
        <v>2719.1419999999998</v>
      </c>
    </row>
    <row r="505" spans="1:1" x14ac:dyDescent="0.2">
      <c r="A505">
        <f>'Entire Trace Calc'!K505</f>
        <v>2708.308</v>
      </c>
    </row>
    <row r="506" spans="1:1" x14ac:dyDescent="0.2">
      <c r="A506">
        <f>'Entire Trace Calc'!K506</f>
        <v>2666.6950000000002</v>
      </c>
    </row>
    <row r="507" spans="1:1" x14ac:dyDescent="0.2">
      <c r="A507">
        <f>'Entire Trace Calc'!K507</f>
        <v>2575.0129999999999</v>
      </c>
    </row>
    <row r="508" spans="1:1" x14ac:dyDescent="0.2">
      <c r="A508">
        <f>'Entire Trace Calc'!K508</f>
        <v>2480.018</v>
      </c>
    </row>
    <row r="509" spans="1:1" x14ac:dyDescent="0.2">
      <c r="A509">
        <f>'Entire Trace Calc'!K509</f>
        <v>2393.5070000000001</v>
      </c>
    </row>
    <row r="510" spans="1:1" x14ac:dyDescent="0.2">
      <c r="A510">
        <f>'Entire Trace Calc'!K510</f>
        <v>2302.7570000000001</v>
      </c>
    </row>
    <row r="511" spans="1:1" x14ac:dyDescent="0.2">
      <c r="A511">
        <f>'Entire Trace Calc'!K511</f>
        <v>2236.7280000000001</v>
      </c>
    </row>
    <row r="512" spans="1:1" x14ac:dyDescent="0.2">
      <c r="A512">
        <f>'Entire Trace Calc'!K512</f>
        <v>2131.462</v>
      </c>
    </row>
    <row r="513" spans="1:1" x14ac:dyDescent="0.2">
      <c r="A513">
        <f>'Entire Trace Calc'!K513</f>
        <v>2012.6769999999999</v>
      </c>
    </row>
    <row r="514" spans="1:1" x14ac:dyDescent="0.2">
      <c r="A514">
        <f>'Entire Trace Calc'!K514</f>
        <v>1918.56</v>
      </c>
    </row>
    <row r="515" spans="1:1" x14ac:dyDescent="0.2">
      <c r="A515">
        <f>'Entire Trace Calc'!K515</f>
        <v>1845.7260000000001</v>
      </c>
    </row>
    <row r="516" spans="1:1" x14ac:dyDescent="0.2">
      <c r="A516">
        <f>'Entire Trace Calc'!K516</f>
        <v>1820.7460000000001</v>
      </c>
    </row>
    <row r="517" spans="1:1" x14ac:dyDescent="0.2">
      <c r="A517">
        <f>'Entire Trace Calc'!K517</f>
        <v>1809.7650000000001</v>
      </c>
    </row>
    <row r="518" spans="1:1" x14ac:dyDescent="0.2">
      <c r="A518">
        <f>'Entire Trace Calc'!K518</f>
        <v>1778.577</v>
      </c>
    </row>
    <row r="519" spans="1:1" x14ac:dyDescent="0.2">
      <c r="A519">
        <f>'Entire Trace Calc'!K519</f>
        <v>1747.6379999999999</v>
      </c>
    </row>
    <row r="520" spans="1:1" x14ac:dyDescent="0.2">
      <c r="A520">
        <f>'Entire Trace Calc'!K520</f>
        <v>1736.327</v>
      </c>
    </row>
    <row r="521" spans="1:1" x14ac:dyDescent="0.2">
      <c r="A521">
        <f>'Entire Trace Calc'!K521</f>
        <v>1710.2750000000001</v>
      </c>
    </row>
    <row r="522" spans="1:1" x14ac:dyDescent="0.2">
      <c r="A522">
        <f>'Entire Trace Calc'!K522</f>
        <v>1668.72</v>
      </c>
    </row>
    <row r="523" spans="1:1" x14ac:dyDescent="0.2">
      <c r="A523">
        <f>'Entire Trace Calc'!K523</f>
        <v>1623.0409999999999</v>
      </c>
    </row>
    <row r="524" spans="1:1" x14ac:dyDescent="0.2">
      <c r="A524">
        <f>'Entire Trace Calc'!K524</f>
        <v>1587.941</v>
      </c>
    </row>
    <row r="525" spans="1:1" x14ac:dyDescent="0.2">
      <c r="A525">
        <f>'Entire Trace Calc'!K525</f>
        <v>1548.329</v>
      </c>
    </row>
    <row r="526" spans="1:1" x14ac:dyDescent="0.2">
      <c r="A526">
        <f>'Entire Trace Calc'!K526</f>
        <v>1501.9110000000001</v>
      </c>
    </row>
    <row r="527" spans="1:1" x14ac:dyDescent="0.2">
      <c r="A527">
        <f>'Entire Trace Calc'!K527</f>
        <v>1460.173</v>
      </c>
    </row>
    <row r="528" spans="1:1" x14ac:dyDescent="0.2">
      <c r="A528">
        <f>'Entire Trace Calc'!K528</f>
        <v>1426.25</v>
      </c>
    </row>
    <row r="529" spans="1:1" x14ac:dyDescent="0.2">
      <c r="A529">
        <f>'Entire Trace Calc'!K529</f>
        <v>1392.847</v>
      </c>
    </row>
    <row r="530" spans="1:1" x14ac:dyDescent="0.2">
      <c r="A530" t="str">
        <f>'Entire Trace Calc'!K530</f>
        <v>BASELINE</v>
      </c>
    </row>
    <row r="531" spans="1:1" x14ac:dyDescent="0.2">
      <c r="A531" t="str">
        <f>'Entire Trace Calc'!K531</f>
        <v>BASELINE</v>
      </c>
    </row>
    <row r="532" spans="1:1" x14ac:dyDescent="0.2">
      <c r="A532" t="str">
        <f>'Entire Trace Calc'!K532</f>
        <v>BASELINE</v>
      </c>
    </row>
    <row r="533" spans="1:1" x14ac:dyDescent="0.2">
      <c r="A533" t="str">
        <f>'Entire Trace Calc'!K533</f>
        <v>BASELINE</v>
      </c>
    </row>
    <row r="534" spans="1:1" x14ac:dyDescent="0.2">
      <c r="A534" t="str">
        <f>'Entire Trace Calc'!K534</f>
        <v>BASELINE</v>
      </c>
    </row>
    <row r="535" spans="1:1" x14ac:dyDescent="0.2">
      <c r="A535" t="str">
        <f>'Entire Trace Calc'!K535</f>
        <v>BASELINE</v>
      </c>
    </row>
    <row r="536" spans="1:1" x14ac:dyDescent="0.2">
      <c r="A536" t="str">
        <f>'Entire Trace Calc'!K536</f>
        <v>BASELINE</v>
      </c>
    </row>
    <row r="537" spans="1:1" x14ac:dyDescent="0.2">
      <c r="A537" t="str">
        <f>'Entire Trace Calc'!K537</f>
        <v>BASELINE</v>
      </c>
    </row>
    <row r="538" spans="1:1" x14ac:dyDescent="0.2">
      <c r="A538" t="str">
        <f>'Entire Trace Calc'!K538</f>
        <v>BASELINE</v>
      </c>
    </row>
    <row r="539" spans="1:1" x14ac:dyDescent="0.2">
      <c r="A539" t="str">
        <f>'Entire Trace Calc'!K539</f>
        <v>BASELINE</v>
      </c>
    </row>
    <row r="540" spans="1:1" x14ac:dyDescent="0.2">
      <c r="A540" t="str">
        <f>'Entire Trace Calc'!K540</f>
        <v>BASELINE</v>
      </c>
    </row>
    <row r="541" spans="1:1" x14ac:dyDescent="0.2">
      <c r="A541" t="str">
        <f>'Entire Trace Calc'!K541</f>
        <v>BASELINE</v>
      </c>
    </row>
    <row r="542" spans="1:1" x14ac:dyDescent="0.2">
      <c r="A542">
        <f>'Entire Trace Calc'!K542</f>
        <v>1410.6089999999999</v>
      </c>
    </row>
    <row r="543" spans="1:1" x14ac:dyDescent="0.2">
      <c r="A543">
        <f>'Entire Trace Calc'!K543</f>
        <v>1557.482</v>
      </c>
    </row>
    <row r="544" spans="1:1" x14ac:dyDescent="0.2">
      <c r="A544">
        <f>'Entire Trace Calc'!K544</f>
        <v>1659.904</v>
      </c>
    </row>
    <row r="545" spans="1:1" x14ac:dyDescent="0.2">
      <c r="A545">
        <f>'Entire Trace Calc'!K545</f>
        <v>1704.5909999999999</v>
      </c>
    </row>
    <row r="546" spans="1:1" x14ac:dyDescent="0.2">
      <c r="A546">
        <f>'Entire Trace Calc'!K546</f>
        <v>1749.903</v>
      </c>
    </row>
    <row r="547" spans="1:1" x14ac:dyDescent="0.2">
      <c r="A547">
        <f>'Entire Trace Calc'!K547</f>
        <v>1818.779</v>
      </c>
    </row>
    <row r="548" spans="1:1" x14ac:dyDescent="0.2">
      <c r="A548">
        <f>'Entire Trace Calc'!K548</f>
        <v>1868.204</v>
      </c>
    </row>
    <row r="549" spans="1:1" x14ac:dyDescent="0.2">
      <c r="A549">
        <f>'Entire Trace Calc'!K549</f>
        <v>1918.4010000000001</v>
      </c>
    </row>
    <row r="550" spans="1:1" x14ac:dyDescent="0.2">
      <c r="A550">
        <f>'Entire Trace Calc'!K550</f>
        <v>1986.2760000000001</v>
      </c>
    </row>
    <row r="551" spans="1:1" x14ac:dyDescent="0.2">
      <c r="A551">
        <f>'Entire Trace Calc'!K551</f>
        <v>2056.2629999999999</v>
      </c>
    </row>
    <row r="552" spans="1:1" x14ac:dyDescent="0.2">
      <c r="A552">
        <f>'Entire Trace Calc'!K552</f>
        <v>2129.8130000000001</v>
      </c>
    </row>
    <row r="553" spans="1:1" x14ac:dyDescent="0.2">
      <c r="A553">
        <f>'Entire Trace Calc'!K553</f>
        <v>2214.8490000000002</v>
      </c>
    </row>
    <row r="554" spans="1:1" x14ac:dyDescent="0.2">
      <c r="A554">
        <f>'Entire Trace Calc'!K554</f>
        <v>2314.3359999999998</v>
      </c>
    </row>
    <row r="555" spans="1:1" x14ac:dyDescent="0.2">
      <c r="A555">
        <f>'Entire Trace Calc'!K555</f>
        <v>2418.5</v>
      </c>
    </row>
    <row r="556" spans="1:1" x14ac:dyDescent="0.2">
      <c r="A556">
        <f>'Entire Trace Calc'!K556</f>
        <v>2486.7510000000002</v>
      </c>
    </row>
    <row r="557" spans="1:1" x14ac:dyDescent="0.2">
      <c r="A557">
        <f>'Entire Trace Calc'!K557</f>
        <v>2513.288</v>
      </c>
    </row>
    <row r="558" spans="1:1" x14ac:dyDescent="0.2">
      <c r="A558">
        <f>'Entire Trace Calc'!K558</f>
        <v>2574.027</v>
      </c>
    </row>
    <row r="559" spans="1:1" x14ac:dyDescent="0.2">
      <c r="A559">
        <f>'Entire Trace Calc'!K559</f>
        <v>2670.8429999999998</v>
      </c>
    </row>
    <row r="560" spans="1:1" x14ac:dyDescent="0.2">
      <c r="A560">
        <f>'Entire Trace Calc'!K560</f>
        <v>2745.1149999999998</v>
      </c>
    </row>
    <row r="561" spans="1:1" x14ac:dyDescent="0.2">
      <c r="A561">
        <f>'Entire Trace Calc'!K561</f>
        <v>3028.5010000000002</v>
      </c>
    </row>
    <row r="562" spans="1:1" x14ac:dyDescent="0.2">
      <c r="A562">
        <f>'Entire Trace Calc'!K562</f>
        <v>3489.424</v>
      </c>
    </row>
    <row r="563" spans="1:1" x14ac:dyDescent="0.2">
      <c r="A563">
        <f>'Entire Trace Calc'!K563</f>
        <v>3753.0770000000002</v>
      </c>
    </row>
    <row r="564" spans="1:1" x14ac:dyDescent="0.2">
      <c r="A564">
        <f>'Entire Trace Calc'!K564</f>
        <v>3876.1469999999999</v>
      </c>
    </row>
    <row r="565" spans="1:1" x14ac:dyDescent="0.2">
      <c r="A565">
        <f>'Entire Trace Calc'!K565</f>
        <v>3918.6979999999999</v>
      </c>
    </row>
    <row r="566" spans="1:1" x14ac:dyDescent="0.2">
      <c r="A566">
        <f>'Entire Trace Calc'!K566</f>
        <v>3889.2620000000002</v>
      </c>
    </row>
    <row r="567" spans="1:1" x14ac:dyDescent="0.2">
      <c r="A567">
        <f>'Entire Trace Calc'!K567</f>
        <v>3865.4160000000002</v>
      </c>
    </row>
    <row r="568" spans="1:1" x14ac:dyDescent="0.2">
      <c r="A568">
        <f>'Entire Trace Calc'!K568</f>
        <v>3815.8069999999998</v>
      </c>
    </row>
    <row r="569" spans="1:1" x14ac:dyDescent="0.2">
      <c r="A569">
        <f>'Entire Trace Calc'!K569</f>
        <v>3745.297</v>
      </c>
    </row>
    <row r="570" spans="1:1" x14ac:dyDescent="0.2">
      <c r="A570">
        <f>'Entire Trace Calc'!K570</f>
        <v>3717.7049999999999</v>
      </c>
    </row>
    <row r="571" spans="1:1" x14ac:dyDescent="0.2">
      <c r="A571">
        <f>'Entire Trace Calc'!K571</f>
        <v>3726.136</v>
      </c>
    </row>
    <row r="572" spans="1:1" x14ac:dyDescent="0.2">
      <c r="A572">
        <f>'Entire Trace Calc'!K572</f>
        <v>3735.9450000000002</v>
      </c>
    </row>
    <row r="573" spans="1:1" x14ac:dyDescent="0.2">
      <c r="A573">
        <f>'Entire Trace Calc'!K573</f>
        <v>3728.1120000000001</v>
      </c>
    </row>
    <row r="574" spans="1:1" x14ac:dyDescent="0.2">
      <c r="A574">
        <f>'Entire Trace Calc'!K574</f>
        <v>3717.2330000000002</v>
      </c>
    </row>
    <row r="575" spans="1:1" x14ac:dyDescent="0.2">
      <c r="A575">
        <f>'Entire Trace Calc'!K575</f>
        <v>3750.268</v>
      </c>
    </row>
    <row r="576" spans="1:1" x14ac:dyDescent="0.2">
      <c r="A576">
        <f>'Entire Trace Calc'!K576</f>
        <v>3773.3470000000002</v>
      </c>
    </row>
    <row r="577" spans="1:1" x14ac:dyDescent="0.2">
      <c r="A577">
        <f>'Entire Trace Calc'!K577</f>
        <v>3743.096</v>
      </c>
    </row>
    <row r="578" spans="1:1" x14ac:dyDescent="0.2">
      <c r="A578">
        <f>'Entire Trace Calc'!K578</f>
        <v>3679.759</v>
      </c>
    </row>
    <row r="579" spans="1:1" x14ac:dyDescent="0.2">
      <c r="A579">
        <f>'Entire Trace Calc'!K579</f>
        <v>3611.973</v>
      </c>
    </row>
    <row r="580" spans="1:1" x14ac:dyDescent="0.2">
      <c r="A580">
        <f>'Entire Trace Calc'!K580</f>
        <v>3547.8530000000001</v>
      </c>
    </row>
    <row r="581" spans="1:1" x14ac:dyDescent="0.2">
      <c r="A581">
        <f>'Entire Trace Calc'!K581</f>
        <v>3481.886</v>
      </c>
    </row>
    <row r="582" spans="1:1" x14ac:dyDescent="0.2">
      <c r="A582">
        <f>'Entire Trace Calc'!K582</f>
        <v>3450.5970000000002</v>
      </c>
    </row>
    <row r="583" spans="1:1" x14ac:dyDescent="0.2">
      <c r="A583">
        <f>'Entire Trace Calc'!K583</f>
        <v>3412.902</v>
      </c>
    </row>
    <row r="584" spans="1:1" x14ac:dyDescent="0.2">
      <c r="A584">
        <f>'Entire Trace Calc'!K584</f>
        <v>3370.183</v>
      </c>
    </row>
    <row r="585" spans="1:1" x14ac:dyDescent="0.2">
      <c r="A585">
        <f>'Entire Trace Calc'!K585</f>
        <v>3363.82</v>
      </c>
    </row>
    <row r="586" spans="1:1" x14ac:dyDescent="0.2">
      <c r="A586">
        <f>'Entire Trace Calc'!K586</f>
        <v>3346.5619999999999</v>
      </c>
    </row>
    <row r="587" spans="1:1" x14ac:dyDescent="0.2">
      <c r="A587">
        <f>'Entire Trace Calc'!K587</f>
        <v>3281.5990000000002</v>
      </c>
    </row>
    <row r="588" spans="1:1" x14ac:dyDescent="0.2">
      <c r="A588">
        <f>'Entire Trace Calc'!K588</f>
        <v>3190.8890000000001</v>
      </c>
    </row>
    <row r="589" spans="1:1" x14ac:dyDescent="0.2">
      <c r="A589">
        <f>'Entire Trace Calc'!K589</f>
        <v>3121.049</v>
      </c>
    </row>
    <row r="590" spans="1:1" x14ac:dyDescent="0.2">
      <c r="A590">
        <f>'Entire Trace Calc'!K590</f>
        <v>3093.5819999999999</v>
      </c>
    </row>
    <row r="591" spans="1:1" x14ac:dyDescent="0.2">
      <c r="A591">
        <f>'Entire Trace Calc'!K591</f>
        <v>3073.4430000000002</v>
      </c>
    </row>
    <row r="592" spans="1:1" x14ac:dyDescent="0.2">
      <c r="A592">
        <f>'Entire Trace Calc'!K592</f>
        <v>3053.4760000000001</v>
      </c>
    </row>
    <row r="593" spans="1:1" x14ac:dyDescent="0.2">
      <c r="A593">
        <f>'Entire Trace Calc'!K593</f>
        <v>3079.6010000000001</v>
      </c>
    </row>
    <row r="594" spans="1:1" x14ac:dyDescent="0.2">
      <c r="A594">
        <f>'Entire Trace Calc'!K594</f>
        <v>3116.35</v>
      </c>
    </row>
    <row r="595" spans="1:1" x14ac:dyDescent="0.2">
      <c r="A595">
        <f>'Entire Trace Calc'!K595</f>
        <v>3113.9059999999999</v>
      </c>
    </row>
    <row r="596" spans="1:1" x14ac:dyDescent="0.2">
      <c r="A596">
        <f>'Entire Trace Calc'!K596</f>
        <v>3082.1280000000002</v>
      </c>
    </row>
    <row r="597" spans="1:1" x14ac:dyDescent="0.2">
      <c r="A597">
        <f>'Entire Trace Calc'!K597</f>
        <v>3033.2890000000002</v>
      </c>
    </row>
    <row r="598" spans="1:1" x14ac:dyDescent="0.2">
      <c r="A598">
        <f>'Entire Trace Calc'!K598</f>
        <v>2982.3539999999998</v>
      </c>
    </row>
    <row r="599" spans="1:1" x14ac:dyDescent="0.2">
      <c r="A599">
        <f>'Entire Trace Calc'!K599</f>
        <v>2972.9389999999999</v>
      </c>
    </row>
    <row r="600" spans="1:1" x14ac:dyDescent="0.2">
      <c r="A600">
        <f>'Entire Trace Calc'!K600</f>
        <v>2971.3589999999999</v>
      </c>
    </row>
    <row r="601" spans="1:1" x14ac:dyDescent="0.2">
      <c r="A601">
        <f>'Entire Trace Calc'!K601</f>
        <v>2960.1970000000001</v>
      </c>
    </row>
  </sheetData>
  <mergeCells count="5">
    <mergeCell ref="D7:G9"/>
    <mergeCell ref="D12:G12"/>
    <mergeCell ref="D13:G15"/>
    <mergeCell ref="D1:G4"/>
    <mergeCell ref="D5:G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How to open .csv</vt:lpstr>
      <vt:lpstr>Entire Trace Calc</vt:lpstr>
      <vt:lpstr>Individual Peak Calc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Doser,Rachel</dc:creator>
  <cp:keywords/>
  <dc:description/>
  <cp:lastModifiedBy>Doser,Rachel</cp:lastModifiedBy>
  <dcterms:created xsi:type="dcterms:W3CDTF">2019-07-07T18:22:16Z</dcterms:created>
  <dcterms:modified xsi:type="dcterms:W3CDTF">2021-09-20T18:56:06Z</dcterms:modified>
  <cp:category/>
</cp:coreProperties>
</file>